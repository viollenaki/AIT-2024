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y\OneDrive\Документы\"/>
    </mc:Choice>
  </mc:AlternateContent>
  <xr:revisionPtr revIDLastSave="0" documentId="13_ncr:9_{D1209035-15A8-4761-90AC-3A720876C178}" xr6:coauthVersionLast="47" xr6:coauthVersionMax="47" xr10:uidLastSave="{00000000-0000-0000-0000-000000000000}"/>
  <bookViews>
    <workbookView xWindow="-108" yWindow="-108" windowWidth="23256" windowHeight="12456" activeTab="3" xr2:uid="{1014FBF9-76D3-4B89-8D61-4AD9BE8F882C}"/>
  </bookViews>
  <sheets>
    <sheet name="Pivot_Category" sheetId="2" r:id="rId1"/>
    <sheet name="Pivot_Region" sheetId="3" r:id="rId2"/>
    <sheet name="Pivot_Monthly" sheetId="4" r:id="rId3"/>
    <sheet name="sales_analysis.xlsx" sheetId="1" r:id="rId4"/>
  </sheets>
  <calcPr calcId="0"/>
  <pivotCaches>
    <pivotCache cacheId="7" r:id="rId5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<sst xmlns="http://schemas.openxmlformats.org/spreadsheetml/2006/main" count="148" uniqueCount="42">
  <si>
    <t>order_id</t>
  </si>
  <si>
    <t>order_date</t>
  </si>
  <si>
    <t>customer_id</t>
  </si>
  <si>
    <t>product</t>
  </si>
  <si>
    <t>category</t>
  </si>
  <si>
    <t>price</t>
  </si>
  <si>
    <t>quantity</t>
  </si>
  <si>
    <t>region</t>
  </si>
  <si>
    <t>C001</t>
  </si>
  <si>
    <t>Laptop Pro</t>
  </si>
  <si>
    <t>Electronics</t>
  </si>
  <si>
    <t>North</t>
  </si>
  <si>
    <t>C002</t>
  </si>
  <si>
    <t>Wireless Mouse</t>
  </si>
  <si>
    <t>South</t>
  </si>
  <si>
    <t>C003</t>
  </si>
  <si>
    <t>Office Chair</t>
  </si>
  <si>
    <t>Furniture</t>
  </si>
  <si>
    <t>East</t>
  </si>
  <si>
    <t>USB-C Hub</t>
  </si>
  <si>
    <t>C004</t>
  </si>
  <si>
    <t>Standing Desk</t>
  </si>
  <si>
    <t>West</t>
  </si>
  <si>
    <t>C005</t>
  </si>
  <si>
    <t>Notebook</t>
  </si>
  <si>
    <t>Stationery</t>
  </si>
  <si>
    <t>C006</t>
  </si>
  <si>
    <t>Pen Set</t>
  </si>
  <si>
    <t>Keyboard</t>
  </si>
  <si>
    <t>C007</t>
  </si>
  <si>
    <t>Monitor 27"</t>
  </si>
  <si>
    <t>C008</t>
  </si>
  <si>
    <t>Desk Lamp</t>
  </si>
  <si>
    <t>C009</t>
  </si>
  <si>
    <t>C010</t>
  </si>
  <si>
    <t>Revenue</t>
  </si>
  <si>
    <t>Row Labels</t>
  </si>
  <si>
    <t>Grand Total</t>
  </si>
  <si>
    <t>Sum of Revenue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</si>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</sst>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[sales_analysis.xlsx]Pivot_Category!PivotTable1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Pivot_Category!$B$4:$B$7</c:f>
              <c:numCache>
                <c:formatCode>General</c:formatCode>
                <c:ptCount val="3"/>
                <c:pt idx="0">
                  <c:v>6610</c:v>
                </c:pt>
                <c:pt idx="1">
                  <c:v>1970</c:v>
                </c:pt>
                <c:pt idx="2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3-4996-B36B-ADE13C7EC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2701088"/>
        <c:axId val="1612701568"/>
      </c:barChart>
      <c:catAx>
        <c:axId val="161270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701568"/>
        <c:crosses val="autoZero"/>
        <c:auto val="1"/>
        <c:lblAlgn val="ctr"/>
        <c:lblOffset val="100"/>
        <c:noMultiLvlLbl val="0"/>
      </c:catAx>
      <c:valAx>
        <c:axId val="161270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7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[sales_analysis.xlsx]Pivot_Monthly!PivotTable3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Pivot_Monthly!$A$4:$A$7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Pivot_Monthly!$B$4:$B$7</c:f>
              <c:numCache>
                <c:formatCode>General</c:formatCode>
                <c:ptCount val="3"/>
                <c:pt idx="0">
                  <c:v>2666</c:v>
                </c:pt>
                <c:pt idx="1">
                  <c:v>3760</c:v>
                </c:pt>
                <c:pt idx="2">
                  <c:v>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5-4B8F-96C6-BA0D9A2CD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727696"/>
        <c:axId val="557723376"/>
      </c:lineChart>
      <c:catAx>
        <c:axId val="55772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23376"/>
        <c:crosses val="autoZero"/>
        <c:auto val="1"/>
        <c:lblAlgn val="ctr"/>
        <c:lblOffset val="100"/>
        <c:noMultiLvlLbl val="0"/>
      </c:catAx>
      <c:valAx>
        <c:axId val="5577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2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659130</xdr:colOff>
      <xdr:row>2</xdr:row>
      <xdr:rowOff>38100</xdr:rowOff>
    </xdr:from>
    <xdr:to>
      <xdr:col>9</xdr:col>
      <xdr:colOff>537210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10B39-A5BD-5402-90E3-0AF32455A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1</xdr:row>
      <xdr:rowOff>152400</xdr:rowOff>
    </xdr:from>
    <xdr:to>
      <xdr:col>9</xdr:col>
      <xdr:colOff>541020</xdr:colOff>
      <xdr:row>17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BF7B5A-D098-CC23-D8E7-B6FEF0D2C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сиридинова Сумая" refreshedDate="46040.786431712964" createdVersion="8" refreshedVersion="8" minRefreshableVersion="3" recordCount="30" xr:uid="{5D66607D-351D-4379-89D6-8A04F22A068C}">
  <cacheSource type="worksheet">
    <worksheetSource ref="A1:I31" sheet="sales_analysis.xlsx"/>
  </cacheSource>
  <cacheFields count="11">
    <cacheField name="order_id" numFmtId="0">
      <sharedItems containsSemiMixedTypes="0" containsString="0" containsNumber="1" containsInteger="1" minValue="1001" maxValue="1030"/>
    </cacheField>
    <cacheField name="order_date" numFmtId="14">
      <sharedItems containsSemiMixedTypes="0" containsNonDate="0" containsDate="1" containsString="0" minDate="2024-01-05T00:00:00" maxDate="2024-03-23T00:00:00" count="30">
        <d v="2024-01-05T00:00:00"/>
        <d v="2024-01-06T00:00:00"/>
        <d v="2024-01-07T00:00:00"/>
        <d v="2024-01-08T00:00:00"/>
        <d v="2024-01-10T00:00:00"/>
        <d v="2024-01-11T00:00:00"/>
        <d v="2024-01-12T00:00:00"/>
        <d v="2024-01-14T00:00:00"/>
        <d v="2024-01-15T00:00:00"/>
        <d v="2024-01-17T00:00:00"/>
        <d v="2024-02-01T00:00:00"/>
        <d v="2024-02-03T00:00:00"/>
        <d v="2024-02-05T00:00:00"/>
        <d v="2024-02-06T00:00:00"/>
        <d v="2024-02-08T00:00:00"/>
        <d v="2024-02-10T00:00:00"/>
        <d v="2024-02-12T00:00:00"/>
        <d v="2024-02-15T00:00:00"/>
        <d v="2024-02-18T00:00:00"/>
        <d v="2024-02-20T00:00:00"/>
        <d v="2024-03-01T00:00:00"/>
        <d v="2024-03-03T00:00:00"/>
        <d v="2024-03-05T00:00:00"/>
        <d v="2024-03-07T00:00:00"/>
        <d v="2024-03-09T00:00:00"/>
        <d v="2024-03-12T00:00:00"/>
        <d v="2024-03-14T00:00:00"/>
        <d v="2024-03-18T00:00:00"/>
        <d v="2024-03-20T00:00:00"/>
        <d v="2024-03-22T00:00:00"/>
      </sharedItems>
      <fieldGroup par="10"/>
    </cacheField>
    <cacheField name="customer_id" numFmtId="0">
      <sharedItems/>
    </cacheField>
    <cacheField name="product" numFmtId="0">
      <sharedItems/>
    </cacheField>
    <cacheField name="category" numFmtId="0">
      <sharedItems count="3">
        <s v="Electronics"/>
        <s v="Furniture"/>
        <s v="Stationery"/>
      </sharedItems>
    </cacheField>
    <cacheField name="price" numFmtId="0">
      <sharedItems containsSemiMixedTypes="0" containsString="0" containsNumber="1" containsInteger="1" minValue="5" maxValue="1200"/>
    </cacheField>
    <cacheField name="quantity" numFmtId="0">
      <sharedItems containsSemiMixedTypes="0" containsString="0" containsNumber="1" containsInteger="1" minValue="1" maxValue="20"/>
    </cacheField>
    <cacheField name="region" numFmtId="0">
      <sharedItems count="4">
        <s v="North"/>
        <s v="South"/>
        <s v="East"/>
        <s v="West"/>
      </sharedItems>
    </cacheField>
    <cacheField name="Revenue" numFmtId="0">
      <sharedItems containsSemiMixedTypes="0" containsString="0" containsNumber="1" containsInteger="1" minValue="36" maxValue="1200"/>
    </cacheField>
    <cacheField name="Days (order_date)" numFmtId="0" databaseField="0">
      <fieldGroup base="1">
        <rangePr groupBy="days" startDate="2024-01-05T00:00:00" endDate="2024-03-23T00:00:00"/>
        <groupItems count="368">
          <s v="&lt;1/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3/2024"/>
        </groupItems>
      </fieldGroup>
    </cacheField>
    <cacheField name="Months (order_date)" numFmtId="0" databaseField="0">
      <fieldGroup base="1">
        <rangePr groupBy="months" startDate="2024-01-05T00:00:00" endDate="2024-03-23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s v="C001"/>
    <s v="Laptop Pro"/>
    <x v="0"/>
    <n v="1200"/>
    <n v="1"/>
    <x v="0"/>
    <n v="1200"/>
  </r>
  <r>
    <n v="1002"/>
    <x v="1"/>
    <s v="C002"/>
    <s v="Wireless Mouse"/>
    <x v="0"/>
    <n v="25"/>
    <n v="2"/>
    <x v="1"/>
    <n v="50"/>
  </r>
  <r>
    <n v="1003"/>
    <x v="2"/>
    <s v="C003"/>
    <s v="Office Chair"/>
    <x v="1"/>
    <n v="180"/>
    <n v="1"/>
    <x v="2"/>
    <n v="180"/>
  </r>
  <r>
    <n v="1004"/>
    <x v="3"/>
    <s v="C001"/>
    <s v="USB-C Hub"/>
    <x v="0"/>
    <n v="45"/>
    <n v="1"/>
    <x v="0"/>
    <n v="45"/>
  </r>
  <r>
    <n v="1005"/>
    <x v="4"/>
    <s v="C004"/>
    <s v="Standing Desk"/>
    <x v="1"/>
    <n v="350"/>
    <n v="1"/>
    <x v="3"/>
    <n v="350"/>
  </r>
  <r>
    <n v="1006"/>
    <x v="5"/>
    <s v="C005"/>
    <s v="Notebook"/>
    <x v="2"/>
    <n v="5"/>
    <n v="10"/>
    <x v="1"/>
    <n v="50"/>
  </r>
  <r>
    <n v="1007"/>
    <x v="6"/>
    <s v="C006"/>
    <s v="Pen Set"/>
    <x v="2"/>
    <n v="12"/>
    <n v="3"/>
    <x v="2"/>
    <n v="36"/>
  </r>
  <r>
    <n v="1008"/>
    <x v="7"/>
    <s v="C002"/>
    <s v="Keyboard"/>
    <x v="0"/>
    <n v="75"/>
    <n v="1"/>
    <x v="1"/>
    <n v="75"/>
  </r>
  <r>
    <n v="1009"/>
    <x v="8"/>
    <s v="C007"/>
    <s v="Monitor 27&quot;"/>
    <x v="0"/>
    <n v="300"/>
    <n v="2"/>
    <x v="0"/>
    <n v="600"/>
  </r>
  <r>
    <n v="1010"/>
    <x v="9"/>
    <s v="C008"/>
    <s v="Desk Lamp"/>
    <x v="1"/>
    <n v="40"/>
    <n v="2"/>
    <x v="3"/>
    <n v="80"/>
  </r>
  <r>
    <n v="1011"/>
    <x v="10"/>
    <s v="C001"/>
    <s v="Laptop Pro"/>
    <x v="0"/>
    <n v="1200"/>
    <n v="1"/>
    <x v="0"/>
    <n v="1200"/>
  </r>
  <r>
    <n v="1012"/>
    <x v="11"/>
    <s v="C009"/>
    <s v="Office Chair"/>
    <x v="1"/>
    <n v="180"/>
    <n v="2"/>
    <x v="1"/>
    <n v="360"/>
  </r>
  <r>
    <n v="1013"/>
    <x v="12"/>
    <s v="C010"/>
    <s v="Notebook"/>
    <x v="2"/>
    <n v="5"/>
    <n v="20"/>
    <x v="2"/>
    <n v="100"/>
  </r>
  <r>
    <n v="1014"/>
    <x v="13"/>
    <s v="C003"/>
    <s v="Keyboard"/>
    <x v="0"/>
    <n v="75"/>
    <n v="1"/>
    <x v="2"/>
    <n v="75"/>
  </r>
  <r>
    <n v="1015"/>
    <x v="14"/>
    <s v="C004"/>
    <s v="Monitor 27&quot;"/>
    <x v="0"/>
    <n v="300"/>
    <n v="1"/>
    <x v="3"/>
    <n v="300"/>
  </r>
  <r>
    <n v="1016"/>
    <x v="15"/>
    <s v="C005"/>
    <s v="Desk Lamp"/>
    <x v="1"/>
    <n v="40"/>
    <n v="1"/>
    <x v="1"/>
    <n v="40"/>
  </r>
  <r>
    <n v="1017"/>
    <x v="16"/>
    <s v="C006"/>
    <s v="Wireless Mouse"/>
    <x v="0"/>
    <n v="25"/>
    <n v="3"/>
    <x v="2"/>
    <n v="75"/>
  </r>
  <r>
    <n v="1018"/>
    <x v="17"/>
    <s v="C007"/>
    <s v="Standing Desk"/>
    <x v="1"/>
    <n v="350"/>
    <n v="1"/>
    <x v="0"/>
    <n v="350"/>
  </r>
  <r>
    <n v="1019"/>
    <x v="18"/>
    <s v="C008"/>
    <s v="Pen Set"/>
    <x v="2"/>
    <n v="12"/>
    <n v="5"/>
    <x v="3"/>
    <n v="60"/>
  </r>
  <r>
    <n v="1020"/>
    <x v="19"/>
    <s v="C002"/>
    <s v="Laptop Pro"/>
    <x v="0"/>
    <n v="1200"/>
    <n v="1"/>
    <x v="1"/>
    <n v="1200"/>
  </r>
  <r>
    <n v="1021"/>
    <x v="20"/>
    <s v="C009"/>
    <s v="USB-C Hub"/>
    <x v="0"/>
    <n v="45"/>
    <n v="2"/>
    <x v="1"/>
    <n v="90"/>
  </r>
  <r>
    <n v="1022"/>
    <x v="21"/>
    <s v="C010"/>
    <s v="Office Chair"/>
    <x v="1"/>
    <n v="180"/>
    <n v="1"/>
    <x v="2"/>
    <n v="180"/>
  </r>
  <r>
    <n v="1023"/>
    <x v="22"/>
    <s v="C001"/>
    <s v="Monitor 27&quot;"/>
    <x v="0"/>
    <n v="300"/>
    <n v="1"/>
    <x v="0"/>
    <n v="300"/>
  </r>
  <r>
    <n v="1024"/>
    <x v="23"/>
    <s v="C003"/>
    <s v="Notebook"/>
    <x v="2"/>
    <n v="5"/>
    <n v="15"/>
    <x v="2"/>
    <n v="75"/>
  </r>
  <r>
    <n v="1025"/>
    <x v="24"/>
    <s v="C004"/>
    <s v="Keyboard"/>
    <x v="0"/>
    <n v="75"/>
    <n v="2"/>
    <x v="3"/>
    <n v="150"/>
  </r>
  <r>
    <n v="1026"/>
    <x v="25"/>
    <s v="C005"/>
    <s v="Standing Desk"/>
    <x v="1"/>
    <n v="350"/>
    <n v="1"/>
    <x v="1"/>
    <n v="350"/>
  </r>
  <r>
    <n v="1027"/>
    <x v="26"/>
    <s v="C006"/>
    <s v="Laptop Pro"/>
    <x v="0"/>
    <n v="1200"/>
    <n v="1"/>
    <x v="2"/>
    <n v="1200"/>
  </r>
  <r>
    <n v="1028"/>
    <x v="27"/>
    <s v="C007"/>
    <s v="Desk Lamp"/>
    <x v="1"/>
    <n v="40"/>
    <n v="2"/>
    <x v="0"/>
    <n v="80"/>
  </r>
  <r>
    <n v="1029"/>
    <x v="28"/>
    <s v="C008"/>
    <s v="Wireless Mouse"/>
    <x v="0"/>
    <n v="25"/>
    <n v="2"/>
    <x v="3"/>
    <n v="50"/>
  </r>
  <r>
    <n v="1030"/>
    <x v="29"/>
    <s v="C009"/>
    <s v="Pen Set"/>
    <x v="2"/>
    <n v="12"/>
    <n v="4"/>
    <x v="1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D1DDA-8755-4404-A4A8-A4C606508C8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1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C670C-44B2-4F7F-813D-4FB6D15BA6B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A4FD1-AD1E-4B00-8760-5455CCC7F4D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11">
    <pivotField showAll="0"/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FF6-A8D7-4A0C-B5B7-1595A5318DAD}">
  <dimension ref="A3:B7"/>
  <sheetViews>
    <sheetView workbookViewId="0">
      <selection activeCell="C24" sqref="C24"/>
    </sheetView>
  </sheetViews>
  <sheetFormatPr defaultRowHeight="13.8"/>
  <cols>
    <col min="1" max="1" width="11.19921875" bestFit="1" customWidth="1"/>
    <col min="2" max="2" width="12.59765625" bestFit="1" customWidth="1"/>
  </cols>
  <sheetData>
    <row r="3" spans="1:2">
      <c r="A3" s="2" t="s">
        <v>36</v>
      </c>
      <c r="B3" t="s">
        <v>38</v>
      </c>
    </row>
    <row r="4" spans="1:2">
      <c r="A4" s="3" t="s">
        <v>10</v>
      </c>
      <c r="B4" s="4">
        <v>6610</v>
      </c>
    </row>
    <row r="5" spans="1:2">
      <c r="A5" s="3" t="s">
        <v>17</v>
      </c>
      <c r="B5" s="4">
        <v>1970</v>
      </c>
    </row>
    <row r="6" spans="1:2">
      <c r="A6" s="3" t="s">
        <v>25</v>
      </c>
      <c r="B6" s="4">
        <v>369</v>
      </c>
    </row>
    <row r="7" spans="1:2">
      <c r="A7" s="3" t="s">
        <v>37</v>
      </c>
      <c r="B7" s="4">
        <v>8949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0509-B9E3-428A-B411-12CA960B08D5}">
  <dimension ref="A3:B8"/>
  <sheetViews>
    <sheetView workbookViewId="0">
      <selection activeCell="B7" sqref="B7"/>
    </sheetView>
  </sheetViews>
  <sheetFormatPr defaultRowHeight="13.8"/>
  <cols>
    <col min="1" max="1" width="11.19921875" bestFit="1" customWidth="1"/>
    <col min="2" max="2" width="12.59765625" bestFit="1" customWidth="1"/>
  </cols>
  <sheetData>
    <row r="3" spans="1:2">
      <c r="A3" s="2" t="s">
        <v>36</v>
      </c>
      <c r="B3" t="s">
        <v>38</v>
      </c>
    </row>
    <row r="4" spans="1:2">
      <c r="A4" s="3" t="s">
        <v>18</v>
      </c>
      <c r="B4" s="4">
        <v>1921</v>
      </c>
    </row>
    <row r="5" spans="1:2">
      <c r="A5" s="3" t="s">
        <v>11</v>
      </c>
      <c r="B5" s="4">
        <v>3775</v>
      </c>
    </row>
    <row r="6" spans="1:2">
      <c r="A6" s="3" t="s">
        <v>14</v>
      </c>
      <c r="B6" s="4">
        <v>2263</v>
      </c>
    </row>
    <row r="7" spans="1:2">
      <c r="A7" s="3" t="s">
        <v>22</v>
      </c>
      <c r="B7" s="4">
        <v>990</v>
      </c>
    </row>
    <row r="8" spans="1:2">
      <c r="A8" s="3" t="s">
        <v>37</v>
      </c>
      <c r="B8" s="4">
        <v>8949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398D-BDB2-42FF-931E-2E8BEFD00622}">
  <dimension ref="A3:B7"/>
  <sheetViews>
    <sheetView workbookViewId="0">
      <selection activeCell="L10" sqref="L10"/>
    </sheetView>
  </sheetViews>
  <sheetFormatPr defaultRowHeight="13.8"/>
  <cols>
    <col min="1" max="1" width="11.19921875" bestFit="1" customWidth="1"/>
    <col min="2" max="2" width="12.59765625" bestFit="1" customWidth="1"/>
  </cols>
  <sheetData>
    <row r="3" spans="1:2">
      <c r="A3" s="2" t="s">
        <v>36</v>
      </c>
      <c r="B3" t="s">
        <v>38</v>
      </c>
    </row>
    <row r="4" spans="1:2">
      <c r="A4" s="3" t="s">
        <v>39</v>
      </c>
      <c r="B4" s="4">
        <v>2666</v>
      </c>
    </row>
    <row r="5" spans="1:2">
      <c r="A5" s="3" t="s">
        <v>40</v>
      </c>
      <c r="B5" s="4">
        <v>3760</v>
      </c>
    </row>
    <row r="6" spans="1:2">
      <c r="A6" s="3" t="s">
        <v>41</v>
      </c>
      <c r="B6" s="4">
        <v>2523</v>
      </c>
    </row>
    <row r="7" spans="1:2">
      <c r="A7" s="3" t="s">
        <v>37</v>
      </c>
      <c r="B7" s="4">
        <v>8949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DE36-6F1C-406A-B0D4-8E480BC17ADE}">
  <dimension ref="A1:I31"/>
  <sheetViews>
    <sheetView tabSelected="1" workbookViewId="0">
      <selection activeCell="B7" sqref="B7"/>
    </sheetView>
  </sheetViews>
  <sheetFormatPr defaultRowHeight="13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</v>
      </c>
    </row>
    <row r="2" spans="1:9">
      <c r="A2">
        <v>1001</v>
      </c>
      <c r="B2" s="1">
        <v>45296</v>
      </c>
      <c r="C2" t="s">
        <v>8</v>
      </c>
      <c r="D2" t="s">
        <v>9</v>
      </c>
      <c r="E2" t="s">
        <v>10</v>
      </c>
      <c r="F2">
        <v>1200</v>
      </c>
      <c r="G2">
        <v>1</v>
      </c>
      <c r="H2" t="s">
        <v>11</v>
      </c>
      <c r="I2">
        <f>F2*G2</f>
        <v>1200</v>
      </c>
    </row>
    <row r="3" spans="1:9">
      <c r="A3">
        <v>1002</v>
      </c>
      <c r="B3" s="1">
        <v>45297</v>
      </c>
      <c r="C3" t="s">
        <v>12</v>
      </c>
      <c r="D3" t="s">
        <v>13</v>
      </c>
      <c r="E3" t="s">
        <v>10</v>
      </c>
      <c r="F3">
        <v>25</v>
      </c>
      <c r="G3">
        <v>2</v>
      </c>
      <c r="H3" t="s">
        <v>14</v>
      </c>
      <c r="I3">
        <f t="shared" ref="I3:I31" si="0">F3*G3</f>
        <v>50</v>
      </c>
    </row>
    <row r="4" spans="1:9">
      <c r="A4">
        <v>1003</v>
      </c>
      <c r="B4" s="1">
        <v>45298</v>
      </c>
      <c r="C4" t="s">
        <v>15</v>
      </c>
      <c r="D4" t="s">
        <v>16</v>
      </c>
      <c r="E4" t="s">
        <v>17</v>
      </c>
      <c r="F4">
        <v>180</v>
      </c>
      <c r="G4">
        <v>1</v>
      </c>
      <c r="H4" t="s">
        <v>18</v>
      </c>
      <c r="I4">
        <f t="shared" si="0"/>
        <v>180</v>
      </c>
    </row>
    <row r="5" spans="1:9">
      <c r="A5">
        <v>1004</v>
      </c>
      <c r="B5" s="1">
        <v>45299</v>
      </c>
      <c r="C5" t="s">
        <v>8</v>
      </c>
      <c r="D5" t="s">
        <v>19</v>
      </c>
      <c r="E5" t="s">
        <v>10</v>
      </c>
      <c r="F5">
        <v>45</v>
      </c>
      <c r="G5">
        <v>1</v>
      </c>
      <c r="H5" t="s">
        <v>11</v>
      </c>
      <c r="I5">
        <f t="shared" si="0"/>
        <v>45</v>
      </c>
    </row>
    <row r="6" spans="1:9">
      <c r="A6">
        <v>1005</v>
      </c>
      <c r="B6" s="1">
        <v>45301</v>
      </c>
      <c r="C6" t="s">
        <v>20</v>
      </c>
      <c r="D6" t="s">
        <v>21</v>
      </c>
      <c r="E6" t="s">
        <v>17</v>
      </c>
      <c r="F6">
        <v>350</v>
      </c>
      <c r="G6">
        <v>1</v>
      </c>
      <c r="H6" t="s">
        <v>22</v>
      </c>
      <c r="I6">
        <f t="shared" si="0"/>
        <v>350</v>
      </c>
    </row>
    <row r="7" spans="1:9">
      <c r="A7">
        <v>1006</v>
      </c>
      <c r="B7" s="1">
        <v>45302</v>
      </c>
      <c r="C7" t="s">
        <v>23</v>
      </c>
      <c r="D7" t="s">
        <v>24</v>
      </c>
      <c r="E7" t="s">
        <v>25</v>
      </c>
      <c r="F7">
        <v>5</v>
      </c>
      <c r="G7">
        <v>10</v>
      </c>
      <c r="H7" t="s">
        <v>14</v>
      </c>
      <c r="I7">
        <f t="shared" si="0"/>
        <v>50</v>
      </c>
    </row>
    <row r="8" spans="1:9">
      <c r="A8">
        <v>1007</v>
      </c>
      <c r="B8" s="1">
        <v>45303</v>
      </c>
      <c r="C8" t="s">
        <v>26</v>
      </c>
      <c r="D8" t="s">
        <v>27</v>
      </c>
      <c r="E8" t="s">
        <v>25</v>
      </c>
      <c r="F8">
        <v>12</v>
      </c>
      <c r="G8">
        <v>3</v>
      </c>
      <c r="H8" t="s">
        <v>18</v>
      </c>
      <c r="I8">
        <f t="shared" si="0"/>
        <v>36</v>
      </c>
    </row>
    <row r="9" spans="1:9">
      <c r="A9">
        <v>1008</v>
      </c>
      <c r="B9" s="1">
        <v>45305</v>
      </c>
      <c r="C9" t="s">
        <v>12</v>
      </c>
      <c r="D9" t="s">
        <v>28</v>
      </c>
      <c r="E9" t="s">
        <v>10</v>
      </c>
      <c r="F9">
        <v>75</v>
      </c>
      <c r="G9">
        <v>1</v>
      </c>
      <c r="H9" t="s">
        <v>14</v>
      </c>
      <c r="I9">
        <f t="shared" si="0"/>
        <v>75</v>
      </c>
    </row>
    <row r="10" spans="1:9">
      <c r="A10">
        <v>1009</v>
      </c>
      <c r="B10" s="1">
        <v>45306</v>
      </c>
      <c r="C10" t="s">
        <v>29</v>
      </c>
      <c r="D10" t="s">
        <v>30</v>
      </c>
      <c r="E10" t="s">
        <v>10</v>
      </c>
      <c r="F10">
        <v>300</v>
      </c>
      <c r="G10">
        <v>2</v>
      </c>
      <c r="H10" t="s">
        <v>11</v>
      </c>
      <c r="I10">
        <f t="shared" si="0"/>
        <v>600</v>
      </c>
    </row>
    <row r="11" spans="1:9">
      <c r="A11">
        <v>1010</v>
      </c>
      <c r="B11" s="1">
        <v>45308</v>
      </c>
      <c r="C11" t="s">
        <v>31</v>
      </c>
      <c r="D11" t="s">
        <v>32</v>
      </c>
      <c r="E11" t="s">
        <v>17</v>
      </c>
      <c r="F11">
        <v>40</v>
      </c>
      <c r="G11">
        <v>2</v>
      </c>
      <c r="H11" t="s">
        <v>22</v>
      </c>
      <c r="I11">
        <f t="shared" si="0"/>
        <v>80</v>
      </c>
    </row>
    <row r="12" spans="1:9">
      <c r="A12">
        <v>1011</v>
      </c>
      <c r="B12" s="1">
        <v>45323</v>
      </c>
      <c r="C12" t="s">
        <v>8</v>
      </c>
      <c r="D12" t="s">
        <v>9</v>
      </c>
      <c r="E12" t="s">
        <v>10</v>
      </c>
      <c r="F12">
        <v>1200</v>
      </c>
      <c r="G12">
        <v>1</v>
      </c>
      <c r="H12" t="s">
        <v>11</v>
      </c>
      <c r="I12">
        <f t="shared" si="0"/>
        <v>1200</v>
      </c>
    </row>
    <row r="13" spans="1:9">
      <c r="A13">
        <v>1012</v>
      </c>
      <c r="B13" s="1">
        <v>45325</v>
      </c>
      <c r="C13" t="s">
        <v>33</v>
      </c>
      <c r="D13" t="s">
        <v>16</v>
      </c>
      <c r="E13" t="s">
        <v>17</v>
      </c>
      <c r="F13">
        <v>180</v>
      </c>
      <c r="G13">
        <v>2</v>
      </c>
      <c r="H13" t="s">
        <v>14</v>
      </c>
      <c r="I13">
        <f t="shared" si="0"/>
        <v>360</v>
      </c>
    </row>
    <row r="14" spans="1:9">
      <c r="A14">
        <v>1013</v>
      </c>
      <c r="B14" s="1">
        <v>45327</v>
      </c>
      <c r="C14" t="s">
        <v>34</v>
      </c>
      <c r="D14" t="s">
        <v>24</v>
      </c>
      <c r="E14" t="s">
        <v>25</v>
      </c>
      <c r="F14">
        <v>5</v>
      </c>
      <c r="G14">
        <v>20</v>
      </c>
      <c r="H14" t="s">
        <v>18</v>
      </c>
      <c r="I14">
        <f t="shared" si="0"/>
        <v>100</v>
      </c>
    </row>
    <row r="15" spans="1:9">
      <c r="A15">
        <v>1014</v>
      </c>
      <c r="B15" s="1">
        <v>45328</v>
      </c>
      <c r="C15" t="s">
        <v>15</v>
      </c>
      <c r="D15" t="s">
        <v>28</v>
      </c>
      <c r="E15" t="s">
        <v>10</v>
      </c>
      <c r="F15">
        <v>75</v>
      </c>
      <c r="G15">
        <v>1</v>
      </c>
      <c r="H15" t="s">
        <v>18</v>
      </c>
      <c r="I15">
        <f t="shared" si="0"/>
        <v>75</v>
      </c>
    </row>
    <row r="16" spans="1:9">
      <c r="A16">
        <v>1015</v>
      </c>
      <c r="B16" s="1">
        <v>45330</v>
      </c>
      <c r="C16" t="s">
        <v>20</v>
      </c>
      <c r="D16" t="s">
        <v>30</v>
      </c>
      <c r="E16" t="s">
        <v>10</v>
      </c>
      <c r="F16">
        <v>300</v>
      </c>
      <c r="G16">
        <v>1</v>
      </c>
      <c r="H16" t="s">
        <v>22</v>
      </c>
      <c r="I16">
        <f t="shared" si="0"/>
        <v>300</v>
      </c>
    </row>
    <row r="17" spans="1:9">
      <c r="A17">
        <v>1016</v>
      </c>
      <c r="B17" s="1">
        <v>45332</v>
      </c>
      <c r="C17" t="s">
        <v>23</v>
      </c>
      <c r="D17" t="s">
        <v>32</v>
      </c>
      <c r="E17" t="s">
        <v>17</v>
      </c>
      <c r="F17">
        <v>40</v>
      </c>
      <c r="G17">
        <v>1</v>
      </c>
      <c r="H17" t="s">
        <v>14</v>
      </c>
      <c r="I17">
        <f t="shared" si="0"/>
        <v>40</v>
      </c>
    </row>
    <row r="18" spans="1:9">
      <c r="A18">
        <v>1017</v>
      </c>
      <c r="B18" s="1">
        <v>45334</v>
      </c>
      <c r="C18" t="s">
        <v>26</v>
      </c>
      <c r="D18" t="s">
        <v>13</v>
      </c>
      <c r="E18" t="s">
        <v>10</v>
      </c>
      <c r="F18">
        <v>25</v>
      </c>
      <c r="G18">
        <v>3</v>
      </c>
      <c r="H18" t="s">
        <v>18</v>
      </c>
      <c r="I18">
        <f t="shared" si="0"/>
        <v>75</v>
      </c>
    </row>
    <row r="19" spans="1:9">
      <c r="A19">
        <v>1018</v>
      </c>
      <c r="B19" s="1">
        <v>45337</v>
      </c>
      <c r="C19" t="s">
        <v>29</v>
      </c>
      <c r="D19" t="s">
        <v>21</v>
      </c>
      <c r="E19" t="s">
        <v>17</v>
      </c>
      <c r="F19">
        <v>350</v>
      </c>
      <c r="G19">
        <v>1</v>
      </c>
      <c r="H19" t="s">
        <v>11</v>
      </c>
      <c r="I19">
        <f t="shared" si="0"/>
        <v>350</v>
      </c>
    </row>
    <row r="20" spans="1:9">
      <c r="A20">
        <v>1019</v>
      </c>
      <c r="B20" s="1">
        <v>45340</v>
      </c>
      <c r="C20" t="s">
        <v>31</v>
      </c>
      <c r="D20" t="s">
        <v>27</v>
      </c>
      <c r="E20" t="s">
        <v>25</v>
      </c>
      <c r="F20">
        <v>12</v>
      </c>
      <c r="G20">
        <v>5</v>
      </c>
      <c r="H20" t="s">
        <v>22</v>
      </c>
      <c r="I20">
        <f t="shared" si="0"/>
        <v>60</v>
      </c>
    </row>
    <row r="21" spans="1:9">
      <c r="A21">
        <v>1020</v>
      </c>
      <c r="B21" s="1">
        <v>45342</v>
      </c>
      <c r="C21" t="s">
        <v>12</v>
      </c>
      <c r="D21" t="s">
        <v>9</v>
      </c>
      <c r="E21" t="s">
        <v>10</v>
      </c>
      <c r="F21">
        <v>1200</v>
      </c>
      <c r="G21">
        <v>1</v>
      </c>
      <c r="H21" t="s">
        <v>14</v>
      </c>
      <c r="I21">
        <f t="shared" si="0"/>
        <v>1200</v>
      </c>
    </row>
    <row r="22" spans="1:9">
      <c r="A22">
        <v>1021</v>
      </c>
      <c r="B22" s="1">
        <v>45352</v>
      </c>
      <c r="C22" t="s">
        <v>33</v>
      </c>
      <c r="D22" t="s">
        <v>19</v>
      </c>
      <c r="E22" t="s">
        <v>10</v>
      </c>
      <c r="F22">
        <v>45</v>
      </c>
      <c r="G22">
        <v>2</v>
      </c>
      <c r="H22" t="s">
        <v>14</v>
      </c>
      <c r="I22">
        <f t="shared" si="0"/>
        <v>90</v>
      </c>
    </row>
    <row r="23" spans="1:9">
      <c r="A23">
        <v>1022</v>
      </c>
      <c r="B23" s="1">
        <v>45354</v>
      </c>
      <c r="C23" t="s">
        <v>34</v>
      </c>
      <c r="D23" t="s">
        <v>16</v>
      </c>
      <c r="E23" t="s">
        <v>17</v>
      </c>
      <c r="F23">
        <v>180</v>
      </c>
      <c r="G23">
        <v>1</v>
      </c>
      <c r="H23" t="s">
        <v>18</v>
      </c>
      <c r="I23">
        <f t="shared" si="0"/>
        <v>180</v>
      </c>
    </row>
    <row r="24" spans="1:9">
      <c r="A24">
        <v>1023</v>
      </c>
      <c r="B24" s="1">
        <v>45356</v>
      </c>
      <c r="C24" t="s">
        <v>8</v>
      </c>
      <c r="D24" t="s">
        <v>30</v>
      </c>
      <c r="E24" t="s">
        <v>10</v>
      </c>
      <c r="F24">
        <v>300</v>
      </c>
      <c r="G24">
        <v>1</v>
      </c>
      <c r="H24" t="s">
        <v>11</v>
      </c>
      <c r="I24">
        <f t="shared" si="0"/>
        <v>300</v>
      </c>
    </row>
    <row r="25" spans="1:9">
      <c r="A25">
        <v>1024</v>
      </c>
      <c r="B25" s="1">
        <v>45358</v>
      </c>
      <c r="C25" t="s">
        <v>15</v>
      </c>
      <c r="D25" t="s">
        <v>24</v>
      </c>
      <c r="E25" t="s">
        <v>25</v>
      </c>
      <c r="F25">
        <v>5</v>
      </c>
      <c r="G25">
        <v>15</v>
      </c>
      <c r="H25" t="s">
        <v>18</v>
      </c>
      <c r="I25">
        <f t="shared" si="0"/>
        <v>75</v>
      </c>
    </row>
    <row r="26" spans="1:9">
      <c r="A26">
        <v>1025</v>
      </c>
      <c r="B26" s="1">
        <v>45360</v>
      </c>
      <c r="C26" t="s">
        <v>20</v>
      </c>
      <c r="D26" t="s">
        <v>28</v>
      </c>
      <c r="E26" t="s">
        <v>10</v>
      </c>
      <c r="F26">
        <v>75</v>
      </c>
      <c r="G26">
        <v>2</v>
      </c>
      <c r="H26" t="s">
        <v>22</v>
      </c>
      <c r="I26">
        <f t="shared" si="0"/>
        <v>150</v>
      </c>
    </row>
    <row r="27" spans="1:9">
      <c r="A27">
        <v>1026</v>
      </c>
      <c r="B27" s="1">
        <v>45363</v>
      </c>
      <c r="C27" t="s">
        <v>23</v>
      </c>
      <c r="D27" t="s">
        <v>21</v>
      </c>
      <c r="E27" t="s">
        <v>17</v>
      </c>
      <c r="F27">
        <v>350</v>
      </c>
      <c r="G27">
        <v>1</v>
      </c>
      <c r="H27" t="s">
        <v>14</v>
      </c>
      <c r="I27">
        <f t="shared" si="0"/>
        <v>350</v>
      </c>
    </row>
    <row r="28" spans="1:9">
      <c r="A28">
        <v>1027</v>
      </c>
      <c r="B28" s="1">
        <v>45365</v>
      </c>
      <c r="C28" t="s">
        <v>26</v>
      </c>
      <c r="D28" t="s">
        <v>9</v>
      </c>
      <c r="E28" t="s">
        <v>10</v>
      </c>
      <c r="F28">
        <v>1200</v>
      </c>
      <c r="G28">
        <v>1</v>
      </c>
      <c r="H28" t="s">
        <v>18</v>
      </c>
      <c r="I28">
        <f t="shared" si="0"/>
        <v>1200</v>
      </c>
    </row>
    <row r="29" spans="1:9">
      <c r="A29">
        <v>1028</v>
      </c>
      <c r="B29" s="1">
        <v>45369</v>
      </c>
      <c r="C29" t="s">
        <v>29</v>
      </c>
      <c r="D29" t="s">
        <v>32</v>
      </c>
      <c r="E29" t="s">
        <v>17</v>
      </c>
      <c r="F29">
        <v>40</v>
      </c>
      <c r="G29">
        <v>2</v>
      </c>
      <c r="H29" t="s">
        <v>11</v>
      </c>
      <c r="I29">
        <f t="shared" si="0"/>
        <v>80</v>
      </c>
    </row>
    <row r="30" spans="1:9">
      <c r="A30">
        <v>1029</v>
      </c>
      <c r="B30" s="1">
        <v>45371</v>
      </c>
      <c r="C30" t="s">
        <v>31</v>
      </c>
      <c r="D30" t="s">
        <v>13</v>
      </c>
      <c r="E30" t="s">
        <v>10</v>
      </c>
      <c r="F30">
        <v>25</v>
      </c>
      <c r="G30">
        <v>2</v>
      </c>
      <c r="H30" t="s">
        <v>22</v>
      </c>
      <c r="I30">
        <f t="shared" si="0"/>
        <v>50</v>
      </c>
    </row>
    <row r="31" spans="1:9">
      <c r="A31">
        <v>1030</v>
      </c>
      <c r="B31" s="1">
        <v>45373</v>
      </c>
      <c r="C31" t="s">
        <v>33</v>
      </c>
      <c r="D31" t="s">
        <v>27</v>
      </c>
      <c r="E31" t="s">
        <v>25</v>
      </c>
      <c r="F31">
        <v>12</v>
      </c>
      <c r="G31">
        <v>4</v>
      </c>
      <c r="H31" t="s">
        <v>14</v>
      </c>
      <c r="I31">
        <f t="shared" si="0"/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Pivot_Category</vt:lpstr>
      <vt:lpstr>Pivot_Region</vt:lpstr>
      <vt:lpstr>Pivot_Monthly</vt:lpstr>
      <vt:lpstr>sales_analysis.xlsx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Насиридинова Сумая</dc:creator>
  <cp:lastModifiedBy>Насиридинова Сумая</cp:lastModifiedBy>
  <dcterms:created xsi:type="dcterms:W3CDTF">2026-01-18T11:26:29Z</dcterms:created>
  <dcterms:modified xsi:type="dcterms:W3CDTF">2026-01-18T13:18:39Z</dcterms:modified>
</cp:coreProperties>
</file>