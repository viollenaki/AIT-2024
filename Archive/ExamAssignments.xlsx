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76" windowHeight="1138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<sst xmlns="http://schemas.openxmlformats.org/spreadsheetml/2006/main" count="5786" uniqueCount="316">
  <si>
    <t>Company Payroll</t>
  </si>
  <si>
    <t>EMP#</t>
  </si>
  <si>
    <t>Employee</t>
  </si>
  <si>
    <t>DIVISION</t>
  </si>
  <si>
    <t>DEPT</t>
  </si>
  <si>
    <t>DATE of HIRE</t>
  </si>
  <si>
    <t>HRS</t>
  </si>
  <si>
    <t>HOURLY RATE</t>
  </si>
  <si>
    <t>GROSS PAY</t>
  </si>
  <si>
    <t>STATUS</t>
  </si>
  <si>
    <t>Questions</t>
  </si>
  <si>
    <t>CW58</t>
  </si>
  <si>
    <t>Abel, Colleen</t>
  </si>
  <si>
    <t>California</t>
  </si>
  <si>
    <t>Sales</t>
  </si>
  <si>
    <t>Full Time</t>
  </si>
  <si>
    <r>
      <rPr>
        <sz val="12"/>
        <color theme="1"/>
        <rFont val="Times New Roman"/>
        <charset val="204"/>
      </rPr>
      <t>1.</t>
    </r>
    <r>
      <rPr>
        <sz val="7"/>
        <color theme="1"/>
        <rFont val="Times New Roman"/>
        <charset val="204"/>
      </rPr>
      <t xml:space="preserve">     </t>
    </r>
    <r>
      <rPr>
        <sz val="12"/>
        <color theme="1"/>
        <rFont val="Times New Roman"/>
        <charset val="204"/>
      </rPr>
      <t>Convert HOURLY RATE and GROSS PAY columns from text (with $ and comma separators) into numeric values.</t>
    </r>
  </si>
  <si>
    <r>
      <rPr>
        <sz val="12"/>
        <color theme="1"/>
        <rFont val="Times New Roman"/>
        <charset val="204"/>
      </rPr>
      <t xml:space="preserve">1. Преобразуйте столбцы </t>
    </r>
    <r>
      <rPr>
        <b/>
        <sz val="12"/>
        <color theme="1"/>
        <rFont val="Times New Roman"/>
        <charset val="204"/>
      </rPr>
      <t>HOURLY RATE</t>
    </r>
    <r>
      <rPr>
        <sz val="12"/>
        <color theme="1"/>
        <rFont val="Times New Roman"/>
        <charset val="204"/>
      </rPr>
      <t xml:space="preserve"> и </t>
    </r>
    <r>
      <rPr>
        <b/>
        <sz val="12"/>
        <color theme="1"/>
        <rFont val="Times New Roman"/>
        <charset val="204"/>
      </rPr>
      <t>GROSS PAY</t>
    </r>
    <r>
      <rPr>
        <sz val="12"/>
        <color theme="1"/>
        <rFont val="Times New Roman"/>
        <charset val="204"/>
      </rPr>
      <t xml:space="preserve"> из текста (с символами $ и запятыми) в числовой формат.</t>
    </r>
  </si>
  <si>
    <t>GBC29</t>
  </si>
  <si>
    <t>Abel, James</t>
  </si>
  <si>
    <t>New Jersey</t>
  </si>
  <si>
    <t>Development</t>
  </si>
  <si>
    <t>Part Time</t>
  </si>
  <si>
    <r>
      <rPr>
        <sz val="12"/>
        <color theme="1"/>
        <rFont val="Times New Roman"/>
        <charset val="204"/>
      </rPr>
      <t>2.</t>
    </r>
    <r>
      <rPr>
        <sz val="7"/>
        <color theme="1"/>
        <rFont val="Times New Roman"/>
        <charset val="204"/>
      </rPr>
      <t xml:space="preserve">     </t>
    </r>
    <r>
      <rPr>
        <sz val="12"/>
        <color theme="1"/>
        <rFont val="Times New Roman"/>
        <charset val="204"/>
      </rPr>
      <t>Ensure HRS values with commas (e.g., 35,5) are converted to periods (35.5) and are numeric.</t>
    </r>
  </si>
  <si>
    <r>
      <rPr>
        <sz val="12"/>
        <color theme="1"/>
        <rFont val="Times New Roman"/>
        <charset val="204"/>
      </rPr>
      <t xml:space="preserve">2. Убедитесь, что значения в столбце </t>
    </r>
    <r>
      <rPr>
        <b/>
        <sz val="12"/>
        <color theme="1"/>
        <rFont val="Times New Roman"/>
        <charset val="204"/>
      </rPr>
      <t>HRS</t>
    </r>
    <r>
      <rPr>
        <sz val="12"/>
        <color theme="1"/>
        <rFont val="Times New Roman"/>
        <charset val="204"/>
      </rPr>
      <t xml:space="preserve"> с запятой (например, 35,5) преобразованы в точку (35.5) и имеют числовой формат.</t>
    </r>
  </si>
  <si>
    <t>GW30</t>
  </si>
  <si>
    <t>Abel, Karina</t>
  </si>
  <si>
    <t>Georgia</t>
  </si>
  <si>
    <r>
      <t>3.</t>
    </r>
    <r>
      <rPr>
        <sz val="7"/>
        <color theme="1"/>
        <rFont val="Times New Roman"/>
        <charset val="204"/>
      </rPr>
      <t xml:space="preserve">     </t>
    </r>
    <r>
      <rPr>
        <sz val="12"/>
        <color theme="1"/>
        <rFont val="Times New Roman"/>
        <charset val="204"/>
      </rPr>
      <t>Insert a new column Years Worked, computed as Years Worked = Current Year - Year(Date of Hire)</t>
    </r>
  </si>
  <si>
    <r>
      <rPr>
        <sz val="12"/>
        <color theme="1"/>
        <rFont val="Times New Roman"/>
        <charset val="204"/>
      </rPr>
      <t xml:space="preserve">3. Добавьте новый столбец </t>
    </r>
    <r>
      <rPr>
        <b/>
        <sz val="12"/>
        <color theme="1"/>
        <rFont val="Times New Roman"/>
        <charset val="204"/>
      </rPr>
      <t>Years Worked</t>
    </r>
    <r>
      <rPr>
        <sz val="12"/>
        <color theme="1"/>
        <rFont val="Times New Roman"/>
        <charset val="204"/>
      </rPr>
      <t>, рассчитанный как:</t>
    </r>
  </si>
  <si>
    <t>GBW66</t>
  </si>
  <si>
    <t>Abel, William</t>
  </si>
  <si>
    <r>
      <t>4.</t>
    </r>
    <r>
      <rPr>
        <sz val="7"/>
        <color theme="1"/>
        <rFont val="Times New Roman"/>
        <charset val="204"/>
      </rPr>
      <t xml:space="preserve">     </t>
    </r>
    <r>
      <rPr>
        <sz val="12"/>
        <color theme="1"/>
        <rFont val="Times New Roman"/>
        <charset val="204"/>
      </rPr>
      <t>Split Employee names into columns: First Name and Last Name</t>
    </r>
  </si>
  <si>
    <r>
      <rPr>
        <sz val="12"/>
        <color theme="1"/>
        <rFont val="Times New Roman"/>
        <charset val="204"/>
      </rPr>
      <t>  </t>
    </r>
    <r>
      <rPr>
        <b/>
        <sz val="12"/>
        <color theme="1"/>
        <rFont val="Times New Roman"/>
        <charset val="204"/>
      </rPr>
      <t>Years Worked = Текущий год – Год(Дата приема на работу)</t>
    </r>
  </si>
  <si>
    <t>AW24</t>
  </si>
  <si>
    <t>Allen, Peter</t>
  </si>
  <si>
    <t>Washington</t>
  </si>
  <si>
    <r>
      <rPr>
        <sz val="12"/>
        <color theme="1"/>
        <rFont val="Times New Roman"/>
        <charset val="204"/>
      </rPr>
      <t xml:space="preserve">4. Разделите имена сотрудников на два столбца: </t>
    </r>
    <r>
      <rPr>
        <b/>
        <sz val="12"/>
        <color theme="1"/>
        <rFont val="Times New Roman"/>
        <charset val="204"/>
      </rPr>
      <t>First Name</t>
    </r>
    <r>
      <rPr>
        <sz val="12"/>
        <color theme="1"/>
        <rFont val="Times New Roman"/>
        <charset val="204"/>
      </rPr>
      <t xml:space="preserve"> и </t>
    </r>
    <r>
      <rPr>
        <b/>
        <sz val="12"/>
        <color theme="1"/>
        <rFont val="Times New Roman"/>
        <charset val="204"/>
      </rPr>
      <t>Last Name</t>
    </r>
    <r>
      <rPr>
        <sz val="12"/>
        <color theme="1"/>
        <rFont val="Times New Roman"/>
        <charset val="204"/>
      </rPr>
      <t>.</t>
    </r>
  </si>
  <si>
    <t>GC12</t>
  </si>
  <si>
    <t>Altman, Mary</t>
  </si>
  <si>
    <r>
      <rPr>
        <sz val="12"/>
        <color theme="1"/>
        <rFont val="Times New Roman"/>
        <charset val="204"/>
      </rPr>
      <t>5.</t>
    </r>
    <r>
      <rPr>
        <sz val="7"/>
        <color theme="1"/>
        <rFont val="Times New Roman"/>
        <charset val="204"/>
      </rPr>
      <t xml:space="preserve">     </t>
    </r>
    <r>
      <rPr>
        <sz val="12"/>
        <color theme="1"/>
        <rFont val="Times New Roman"/>
        <charset val="204"/>
      </rPr>
      <t>Reorder columns so they follow logical grouping:</t>
    </r>
  </si>
  <si>
    <t>5. Переставьте столбцы в логическом порядке:</t>
  </si>
  <si>
    <t>GW14</t>
  </si>
  <si>
    <t>Ambrose, Bob</t>
  </si>
  <si>
    <t>EMP# | Last Name | First Name | DEPT | DIVISION | STATUS | HRS | HOURLY RATE | GROSS PAY | DATE of HIRE | BEN</t>
  </si>
  <si>
    <t> EMP# | Last Name | First Name | DEPT | DIVISION | STATUS | HRS | HOURLY RATE | GROSS PAY | DATE of HIRE | BEN</t>
  </si>
  <si>
    <t>GC04</t>
  </si>
  <si>
    <t>Bally, Barry</t>
  </si>
  <si>
    <r>
      <rPr>
        <sz val="12"/>
        <color theme="1"/>
        <rFont val="Times New Roman"/>
        <charset val="204"/>
      </rPr>
      <t xml:space="preserve">6. Отсортируйте данные в алфавитном порядке по </t>
    </r>
    <r>
      <rPr>
        <b/>
        <sz val="12"/>
        <color theme="1"/>
        <rFont val="Times New Roman"/>
        <charset val="204"/>
      </rPr>
      <t>Last Name</t>
    </r>
    <r>
      <rPr>
        <sz val="12"/>
        <color theme="1"/>
        <rFont val="Times New Roman"/>
        <charset val="204"/>
      </rPr>
      <t xml:space="preserve">, затем по </t>
    </r>
    <r>
      <rPr>
        <b/>
        <sz val="12"/>
        <color theme="1"/>
        <rFont val="Times New Roman"/>
        <charset val="204"/>
      </rPr>
      <t>Division</t>
    </r>
    <r>
      <rPr>
        <sz val="12"/>
        <color theme="1"/>
        <rFont val="Times New Roman"/>
        <charset val="204"/>
      </rPr>
      <t>.</t>
    </r>
  </si>
  <si>
    <t>AS03</t>
  </si>
  <si>
    <t>Banks, Jacqueline</t>
  </si>
  <si>
    <t>Staff</t>
  </si>
  <si>
    <r>
      <t>6.</t>
    </r>
    <r>
      <rPr>
        <sz val="7"/>
        <color theme="1"/>
        <rFont val="Times New Roman"/>
        <charset val="204"/>
      </rPr>
      <t xml:space="preserve">     </t>
    </r>
    <r>
      <rPr>
        <sz val="12"/>
        <color theme="1"/>
        <rFont val="Times New Roman"/>
        <charset val="204"/>
      </rPr>
      <t>Sort the data alphabetically by Last Name, then by Division</t>
    </r>
    <r>
      <rPr>
        <b/>
        <sz val="12"/>
        <color theme="1"/>
        <rFont val="Times New Roman"/>
        <charset val="204"/>
      </rPr>
      <t>.</t>
    </r>
  </si>
  <si>
    <t>7. Закрепите строку заголовков для удобства навигации.</t>
  </si>
  <si>
    <t>GW32</t>
  </si>
  <si>
    <t>Barber, Mary</t>
  </si>
  <si>
    <r>
      <rPr>
        <sz val="12"/>
        <color theme="1"/>
        <rFont val="Times New Roman"/>
        <charset val="204"/>
      </rPr>
      <t xml:space="preserve">8. Преобразуйте весь набор данных в </t>
    </r>
    <r>
      <rPr>
        <b/>
        <sz val="12"/>
        <color theme="1"/>
        <rFont val="Times New Roman"/>
        <charset val="204"/>
      </rPr>
      <t>Excel Table</t>
    </r>
    <r>
      <rPr>
        <sz val="12"/>
        <color theme="1"/>
        <rFont val="Times New Roman"/>
        <charset val="204"/>
      </rPr>
      <t xml:space="preserve"> (таблицу).</t>
    </r>
  </si>
  <si>
    <t>AA70</t>
  </si>
  <si>
    <t>Binga, Erin</t>
  </si>
  <si>
    <t>Research</t>
  </si>
  <si>
    <r>
      <t>7.</t>
    </r>
    <r>
      <rPr>
        <sz val="7"/>
        <color theme="1"/>
        <rFont val="Times New Roman"/>
        <charset val="204"/>
      </rPr>
      <t xml:space="preserve">     </t>
    </r>
    <r>
      <rPr>
        <sz val="12"/>
        <color theme="1"/>
        <rFont val="Times New Roman"/>
        <charset val="204"/>
      </rPr>
      <t>Freeze the header row for easier navigation.</t>
    </r>
  </si>
  <si>
    <r>
      <rPr>
        <sz val="12"/>
        <color theme="1"/>
        <rFont val="Times New Roman"/>
        <charset val="204"/>
      </rPr>
      <t>9. Вычислите среднюю почасовую ставку (</t>
    </r>
    <r>
      <rPr>
        <b/>
        <sz val="12"/>
        <color theme="1"/>
        <rFont val="Times New Roman"/>
        <charset val="204"/>
      </rPr>
      <t>average hourly rate</t>
    </r>
    <r>
      <rPr>
        <sz val="12"/>
        <color theme="1"/>
        <rFont val="Times New Roman"/>
        <charset val="204"/>
      </rPr>
      <t>) для всех сотрудников.</t>
    </r>
  </si>
  <si>
    <t>AA02</t>
  </si>
  <si>
    <t>Binga, Frieda</t>
  </si>
  <si>
    <r>
      <rPr>
        <sz val="12"/>
        <color theme="1"/>
        <rFont val="Times New Roman"/>
        <charset val="204"/>
      </rPr>
      <t xml:space="preserve">10. Определите максимальную и минимальную величину </t>
    </r>
    <r>
      <rPr>
        <b/>
        <sz val="12"/>
        <color theme="1"/>
        <rFont val="Times New Roman"/>
        <charset val="204"/>
      </rPr>
      <t>GROSS PAY</t>
    </r>
    <r>
      <rPr>
        <sz val="12"/>
        <color theme="1"/>
        <rFont val="Times New Roman"/>
        <charset val="204"/>
      </rPr>
      <t>.</t>
    </r>
  </si>
  <si>
    <t>AW55</t>
  </si>
  <si>
    <t>Binga, Teri</t>
  </si>
  <si>
    <r>
      <rPr>
        <sz val="12"/>
        <color theme="1"/>
        <rFont val="Times New Roman"/>
        <charset val="204"/>
      </rPr>
      <t>8.</t>
    </r>
    <r>
      <rPr>
        <sz val="7"/>
        <color theme="1"/>
        <rFont val="Times New Roman"/>
        <charset val="204"/>
      </rPr>
      <t xml:space="preserve">     </t>
    </r>
    <r>
      <rPr>
        <sz val="12"/>
        <color theme="1"/>
        <rFont val="Times New Roman"/>
        <charset val="204"/>
      </rPr>
      <t>Convert the whole dataset into an Excel Table</t>
    </r>
  </si>
  <si>
    <r>
      <rPr>
        <sz val="12"/>
        <color theme="1"/>
        <rFont val="Times New Roman"/>
        <charset val="204"/>
      </rPr>
      <t xml:space="preserve">11. Подсчитайте, сколько сотрудников работают </t>
    </r>
    <r>
      <rPr>
        <b/>
        <sz val="12"/>
        <color theme="1"/>
        <rFont val="Times New Roman"/>
        <charset val="204"/>
      </rPr>
      <t>Full Time</t>
    </r>
    <r>
      <rPr>
        <sz val="12"/>
        <color theme="1"/>
        <rFont val="Times New Roman"/>
        <charset val="204"/>
      </rPr>
      <t xml:space="preserve"> и </t>
    </r>
    <r>
      <rPr>
        <b/>
        <sz val="12"/>
        <color theme="1"/>
        <rFont val="Times New Roman"/>
        <charset val="204"/>
      </rPr>
      <t>Part Time</t>
    </r>
    <r>
      <rPr>
        <sz val="12"/>
        <color theme="1"/>
        <rFont val="Times New Roman"/>
        <charset val="204"/>
      </rPr>
      <t>.</t>
    </r>
  </si>
  <si>
    <t>AA35</t>
  </si>
  <si>
    <t>Bowers, Melanie</t>
  </si>
  <si>
    <r>
      <rPr>
        <sz val="12"/>
        <color theme="1"/>
        <rFont val="Times New Roman"/>
        <charset val="204"/>
      </rPr>
      <t xml:space="preserve">12. Создайте новый столбец </t>
    </r>
    <r>
      <rPr>
        <b/>
        <sz val="12"/>
        <color theme="1"/>
        <rFont val="Times New Roman"/>
        <charset val="204"/>
      </rPr>
      <t>Experience Level</t>
    </r>
    <r>
      <rPr>
        <sz val="12"/>
        <color theme="1"/>
        <rFont val="Times New Roman"/>
        <charset val="204"/>
      </rPr>
      <t>:</t>
    </r>
  </si>
  <si>
    <t>CA40</t>
  </si>
  <si>
    <t>Briscoll, Doug</t>
  </si>
  <si>
    <r>
      <t>9.</t>
    </r>
    <r>
      <rPr>
        <sz val="7"/>
        <color theme="1"/>
        <rFont val="Times New Roman"/>
        <charset val="204"/>
      </rPr>
      <t xml:space="preserve">     </t>
    </r>
    <r>
      <rPr>
        <sz val="12"/>
        <color theme="1"/>
        <rFont val="Times New Roman"/>
        <charset val="204"/>
      </rPr>
      <t xml:space="preserve">Calculate the </t>
    </r>
    <r>
      <rPr>
        <b/>
        <sz val="12"/>
        <color theme="1"/>
        <rFont val="Times New Roman"/>
        <charset val="204"/>
      </rPr>
      <t>average hourly rate</t>
    </r>
    <r>
      <rPr>
        <sz val="12"/>
        <color theme="1"/>
        <rFont val="Times New Roman"/>
        <charset val="204"/>
      </rPr>
      <t xml:space="preserve"> for all employees.</t>
    </r>
  </si>
  <si>
    <r>
      <rPr>
        <sz val="12"/>
        <color theme="1"/>
        <rFont val="Times New Roman"/>
        <charset val="204"/>
      </rPr>
      <t xml:space="preserve">  Если </t>
    </r>
    <r>
      <rPr>
        <b/>
        <sz val="12"/>
        <color theme="1"/>
        <rFont val="Times New Roman"/>
        <charset val="204"/>
      </rPr>
      <t>Years Worked &gt; 10</t>
    </r>
    <r>
      <rPr>
        <sz val="12"/>
        <color theme="1"/>
        <rFont val="Times New Roman"/>
        <charset val="204"/>
      </rPr>
      <t xml:space="preserve"> → </t>
    </r>
    <r>
      <rPr>
        <i/>
        <sz val="12"/>
        <color theme="1"/>
        <rFont val="Times New Roman"/>
        <charset val="204"/>
      </rPr>
      <t>Senior</t>
    </r>
  </si>
  <si>
    <t>GBA48</t>
  </si>
  <si>
    <t>Brown, Geoff</t>
  </si>
  <si>
    <r>
      <t>10.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Calculate the </t>
    </r>
    <r>
      <rPr>
        <b/>
        <sz val="12"/>
        <color theme="1"/>
        <rFont val="Times New Roman"/>
        <charset val="204"/>
      </rPr>
      <t>maximum gross pay</t>
    </r>
    <r>
      <rPr>
        <sz val="12"/>
        <color theme="1"/>
        <rFont val="Times New Roman"/>
        <charset val="204"/>
      </rPr>
      <t xml:space="preserve"> and </t>
    </r>
    <r>
      <rPr>
        <b/>
        <sz val="12"/>
        <color theme="1"/>
        <rFont val="Times New Roman"/>
        <charset val="204"/>
      </rPr>
      <t>minimum gross pay</t>
    </r>
    <r>
      <rPr>
        <sz val="12"/>
        <color theme="1"/>
        <rFont val="Times New Roman"/>
        <charset val="204"/>
      </rPr>
      <t>.</t>
    </r>
  </si>
  <si>
    <r>
      <rPr>
        <sz val="12"/>
        <color theme="1"/>
        <rFont val="Times New Roman"/>
        <charset val="204"/>
      </rPr>
      <t xml:space="preserve">  Иначе → </t>
    </r>
    <r>
      <rPr>
        <i/>
        <sz val="12"/>
        <color theme="1"/>
        <rFont val="Times New Roman"/>
        <charset val="204"/>
      </rPr>
      <t>Junior</t>
    </r>
  </si>
  <si>
    <t>GW47</t>
  </si>
  <si>
    <t>BSaleshoff, Tim</t>
  </si>
  <si>
    <r>
      <t>11.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Count how many employees are </t>
    </r>
    <r>
      <rPr>
        <b/>
        <sz val="12"/>
        <color theme="1"/>
        <rFont val="Times New Roman"/>
        <charset val="204"/>
      </rPr>
      <t>Full Time</t>
    </r>
    <r>
      <rPr>
        <sz val="12"/>
        <color theme="1"/>
        <rFont val="Times New Roman"/>
        <charset val="204"/>
      </rPr>
      <t xml:space="preserve"> vs </t>
    </r>
    <r>
      <rPr>
        <b/>
        <sz val="12"/>
        <color theme="1"/>
        <rFont val="Times New Roman"/>
        <charset val="204"/>
      </rPr>
      <t>Part Time</t>
    </r>
    <r>
      <rPr>
        <sz val="12"/>
        <color theme="1"/>
        <rFont val="Times New Roman"/>
        <charset val="204"/>
      </rPr>
      <t>.</t>
    </r>
  </si>
  <si>
    <r>
      <rPr>
        <sz val="12"/>
        <color theme="1"/>
        <rFont val="Times New Roman"/>
        <charset val="204"/>
      </rPr>
      <t xml:space="preserve">13. Найдите сотрудника </t>
    </r>
    <r>
      <rPr>
        <b/>
        <sz val="12"/>
        <color theme="1"/>
        <rFont val="Times New Roman"/>
        <charset val="204"/>
      </rPr>
      <t>“Banks, Jacqueline”</t>
    </r>
    <r>
      <rPr>
        <sz val="12"/>
        <color theme="1"/>
        <rFont val="Times New Roman"/>
        <charset val="204"/>
      </rPr>
      <t xml:space="preserve"> и выведите:</t>
    </r>
  </si>
  <si>
    <t>CW19</t>
  </si>
  <si>
    <t>Califano, Theresa</t>
  </si>
  <si>
    <r>
      <rPr>
        <sz val="12"/>
        <color theme="1"/>
        <rFont val="Times New Roman"/>
        <charset val="204"/>
      </rPr>
      <t>12.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Create a new column </t>
    </r>
    <r>
      <rPr>
        <b/>
        <sz val="12"/>
        <color theme="1"/>
        <rFont val="Times New Roman"/>
        <charset val="204"/>
      </rPr>
      <t>Experience Level</t>
    </r>
    <r>
      <rPr>
        <sz val="12"/>
        <color theme="1"/>
        <rFont val="Times New Roman"/>
        <charset val="204"/>
      </rPr>
      <t>:</t>
    </r>
  </si>
  <si>
    <t>  - Division</t>
  </si>
  <si>
    <t>AS23</t>
  </si>
  <si>
    <t>Calvin, Marianne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</si>
  <si>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 xml:space="preserve">If Years Worked &gt; 10 → </t>
    </r>
    <r>
      <rPr>
        <b/>
        <sz val="12"/>
        <color theme="1"/>
        <rFont val="Times New Roman"/>
        <charset val="204"/>
      </rPr>
      <t>Senior</t>
    </r>
  </si>
  <si>
    <t>  - Hourly Rate</t>
  </si>
  <si>
    <t>GBC05</t>
  </si>
  <si>
    <t>Chen, Shing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</si>
  <si>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 xml:space="preserve">Else → </t>
    </r>
    <r>
      <rPr>
        <b/>
        <sz val="12"/>
        <color theme="1"/>
        <rFont val="Times New Roman"/>
        <charset val="204"/>
      </rPr>
      <t>Junior</t>
    </r>
  </si>
  <si>
    <t>  - Status</t>
  </si>
  <si>
    <t>GBC49</t>
  </si>
  <si>
    <t>Connors, Greg</t>
  </si>
  <si>
    <r>
      <rPr>
        <sz val="12"/>
        <color theme="1"/>
        <rFont val="Times New Roman"/>
        <charset val="204"/>
      </rPr>
      <t>13.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Search for employee </t>
    </r>
    <r>
      <rPr>
        <i/>
        <sz val="12"/>
        <color theme="1"/>
        <rFont val="Times New Roman"/>
        <charset val="204"/>
      </rPr>
      <t>“Banks, Jacqueline”</t>
    </r>
    <r>
      <rPr>
        <sz val="12"/>
        <color theme="1"/>
        <rFont val="Times New Roman"/>
        <charset val="204"/>
      </rPr>
      <t xml:space="preserve"> and return her:</t>
    </r>
  </si>
  <si>
    <r>
      <rPr>
        <sz val="12"/>
        <color theme="1"/>
        <rFont val="Times New Roman"/>
        <charset val="204"/>
      </rPr>
      <t xml:space="preserve">14. Позвольте пользователю ввести </t>
    </r>
    <r>
      <rPr>
        <b/>
        <sz val="12"/>
        <color theme="1"/>
        <rFont val="Times New Roman"/>
        <charset val="204"/>
      </rPr>
      <t>EMP#</t>
    </r>
    <r>
      <rPr>
        <sz val="12"/>
        <color theme="1"/>
        <rFont val="Times New Roman"/>
        <charset val="204"/>
      </rPr>
      <t xml:space="preserve"> в отдельной ячейке и вернуть </t>
    </r>
    <r>
      <rPr>
        <b/>
        <sz val="12"/>
        <color theme="1"/>
        <rFont val="Times New Roman"/>
        <charset val="204"/>
      </rPr>
      <t>GROSS PAY</t>
    </r>
    <r>
      <rPr>
        <sz val="12"/>
        <color theme="1"/>
        <rFont val="Times New Roman"/>
        <charset val="204"/>
      </rPr>
      <t xml:space="preserve"> этого сотрудника.</t>
    </r>
  </si>
  <si>
    <t>GBC08</t>
  </si>
  <si>
    <t>Cuffaro, Robert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</si>
  <si>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>Division</t>
    </r>
  </si>
  <si>
    <r>
      <rPr>
        <sz val="12"/>
        <color theme="1"/>
        <rFont val="Times New Roman"/>
        <charset val="204"/>
      </rPr>
      <t xml:space="preserve">15. Подсчитайте, сколько сотрудников были наняты </t>
    </r>
    <r>
      <rPr>
        <b/>
        <sz val="12"/>
        <color theme="1"/>
        <rFont val="Times New Roman"/>
        <charset val="204"/>
      </rPr>
      <t>до 2010 года</t>
    </r>
    <r>
      <rPr>
        <sz val="12"/>
        <color theme="1"/>
        <rFont val="Times New Roman"/>
        <charset val="204"/>
      </rPr>
      <t>.</t>
    </r>
  </si>
  <si>
    <t>GBC07</t>
  </si>
  <si>
    <t>Culbert, Frank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</si>
  <si>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>Hourly Rate</t>
    </r>
  </si>
  <si>
    <r>
      <rPr>
        <sz val="12"/>
        <color theme="1"/>
        <rFont val="Times New Roman"/>
        <charset val="204"/>
      </rPr>
      <t xml:space="preserve">16. Определите </t>
    </r>
    <r>
      <rPr>
        <b/>
        <sz val="12"/>
        <color theme="1"/>
        <rFont val="Times New Roman"/>
        <charset val="204"/>
      </rPr>
      <t>самую раннюю</t>
    </r>
    <r>
      <rPr>
        <sz val="12"/>
        <color theme="1"/>
        <rFont val="Times New Roman"/>
        <charset val="204"/>
      </rPr>
      <t xml:space="preserve"> и </t>
    </r>
    <r>
      <rPr>
        <b/>
        <sz val="12"/>
        <color theme="1"/>
        <rFont val="Times New Roman"/>
        <charset val="204"/>
      </rPr>
      <t>самую позднюю</t>
    </r>
    <r>
      <rPr>
        <sz val="12"/>
        <color theme="1"/>
        <rFont val="Times New Roman"/>
        <charset val="204"/>
      </rPr>
      <t xml:space="preserve"> дату приема на работу.</t>
    </r>
  </si>
  <si>
    <t>CC45</t>
  </si>
  <si>
    <t>Dandrow, Shirley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</si>
  <si>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>Status</t>
    </r>
  </si>
  <si>
    <r>
      <rPr>
        <sz val="12"/>
        <color theme="1"/>
        <rFont val="Times New Roman"/>
        <charset val="204"/>
      </rPr>
      <t xml:space="preserve">17. Извлеките </t>
    </r>
    <r>
      <rPr>
        <b/>
        <sz val="12"/>
        <color theme="1"/>
        <rFont val="Times New Roman"/>
        <charset val="204"/>
      </rPr>
      <t>аббревиатуру Division</t>
    </r>
    <r>
      <rPr>
        <sz val="12"/>
        <color theme="1"/>
        <rFont val="Times New Roman"/>
        <charset val="204"/>
      </rPr>
      <t xml:space="preserve">: например, Georgia → </t>
    </r>
    <r>
      <rPr>
        <b/>
        <sz val="12"/>
        <color theme="1"/>
        <rFont val="Times New Roman"/>
        <charset val="204"/>
      </rPr>
      <t>GE</t>
    </r>
    <r>
      <rPr>
        <sz val="12"/>
        <color theme="1"/>
        <rFont val="Times New Roman"/>
        <charset val="204"/>
      </rPr>
      <t>.</t>
    </r>
  </si>
  <si>
    <t>CC23</t>
  </si>
  <si>
    <t>Davidson, Anne</t>
  </si>
  <si>
    <r>
      <rPr>
        <sz val="12"/>
        <color theme="1"/>
        <rFont val="Times New Roman"/>
        <charset val="204"/>
      </rPr>
      <t>14.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Allow user to enter an </t>
    </r>
    <r>
      <rPr>
        <b/>
        <sz val="12"/>
        <color theme="1"/>
        <rFont val="Times New Roman"/>
        <charset val="204"/>
      </rPr>
      <t>EMP#</t>
    </r>
    <r>
      <rPr>
        <sz val="12"/>
        <color theme="1"/>
        <rFont val="Times New Roman"/>
        <charset val="204"/>
      </rPr>
      <t xml:space="preserve"> in a cell, and return the employee’s </t>
    </r>
    <r>
      <rPr>
        <b/>
        <sz val="12"/>
        <color theme="1"/>
        <rFont val="Times New Roman"/>
        <charset val="204"/>
      </rPr>
      <t>Gross Pay</t>
    </r>
    <r>
      <rPr>
        <sz val="12"/>
        <color theme="1"/>
        <rFont val="Times New Roman"/>
        <charset val="204"/>
      </rPr>
      <t xml:space="preserve">. </t>
    </r>
  </si>
  <si>
    <r>
      <rPr>
        <sz val="12"/>
        <color theme="1"/>
        <rFont val="Times New Roman"/>
        <charset val="204"/>
      </rPr>
      <t xml:space="preserve">18. Создайте новый столбец </t>
    </r>
    <r>
      <rPr>
        <b/>
        <sz val="12"/>
        <color theme="1"/>
        <rFont val="Times New Roman"/>
        <charset val="204"/>
      </rPr>
      <t>Employment Category</t>
    </r>
    <r>
      <rPr>
        <sz val="12"/>
        <color theme="1"/>
        <rFont val="Times New Roman"/>
        <charset val="204"/>
      </rPr>
      <t>:</t>
    </r>
  </si>
  <si>
    <t>GBC64</t>
  </si>
  <si>
    <t>Davies, Lance</t>
  </si>
  <si>
    <r>
      <t>15.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Count how many employees were hired before 2010.</t>
    </r>
  </si>
  <si>
    <r>
      <rPr>
        <sz val="12"/>
        <color theme="1"/>
        <rFont val="Times New Roman"/>
        <charset val="204"/>
      </rPr>
      <t xml:space="preserve">  Если </t>
    </r>
    <r>
      <rPr>
        <b/>
        <sz val="12"/>
        <color theme="1"/>
        <rFont val="Times New Roman"/>
        <charset val="204"/>
      </rPr>
      <t>HRS ≥ 40</t>
    </r>
    <r>
      <rPr>
        <sz val="12"/>
        <color theme="1"/>
        <rFont val="Times New Roman"/>
        <charset val="204"/>
      </rPr>
      <t xml:space="preserve"> → </t>
    </r>
    <r>
      <rPr>
        <i/>
        <sz val="12"/>
        <color theme="1"/>
        <rFont val="Times New Roman"/>
        <charset val="204"/>
      </rPr>
      <t>Full Load</t>
    </r>
  </si>
  <si>
    <t>GBS45</t>
  </si>
  <si>
    <t>DeVinney, Kristen</t>
  </si>
  <si>
    <r>
      <t>16.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Determine the earliest hire date and latest hire date.</t>
    </r>
  </si>
  <si>
    <r>
      <rPr>
        <sz val="12"/>
        <color theme="1"/>
        <rFont val="Times New Roman"/>
        <charset val="204"/>
      </rPr>
      <t xml:space="preserve">  Если </t>
    </r>
    <r>
      <rPr>
        <b/>
        <sz val="12"/>
        <color theme="1"/>
        <rFont val="Times New Roman"/>
        <charset val="204"/>
      </rPr>
      <t>HRS от 30 до 39</t>
    </r>
    <r>
      <rPr>
        <sz val="12"/>
        <color theme="1"/>
        <rFont val="Times New Roman"/>
        <charset val="204"/>
      </rPr>
      <t xml:space="preserve"> → </t>
    </r>
    <r>
      <rPr>
        <i/>
        <sz val="12"/>
        <color theme="1"/>
        <rFont val="Times New Roman"/>
        <charset val="204"/>
      </rPr>
      <t>Moderate Load</t>
    </r>
  </si>
  <si>
    <t>GBA34</t>
  </si>
  <si>
    <t>Drake, Susan</t>
  </si>
  <si>
    <r>
      <rPr>
        <sz val="12"/>
        <color theme="1"/>
        <rFont val="Times New Roman"/>
        <charset val="204"/>
      </rPr>
      <t>17.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Extract Division abbreviation: Example: </t>
    </r>
    <r>
      <rPr>
        <i/>
        <sz val="12"/>
        <color theme="1"/>
        <rFont val="Times New Roman"/>
        <charset val="204"/>
      </rPr>
      <t>Georgia → GE</t>
    </r>
  </si>
  <si>
    <r>
      <rPr>
        <sz val="12"/>
        <color theme="1"/>
        <rFont val="Times New Roman"/>
        <charset val="204"/>
      </rPr>
      <t xml:space="preserve">  Иначе → </t>
    </r>
    <r>
      <rPr>
        <i/>
        <sz val="12"/>
        <color theme="1"/>
        <rFont val="Times New Roman"/>
        <charset val="204"/>
      </rPr>
      <t>Low Load</t>
    </r>
  </si>
  <si>
    <t>GBS16</t>
  </si>
  <si>
    <t>EarnhSales, Kyle</t>
  </si>
  <si>
    <r>
      <rPr>
        <sz val="12"/>
        <color theme="1"/>
        <rFont val="Times New Roman"/>
        <charset val="204"/>
      </rPr>
      <t>18.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Create a new column </t>
    </r>
    <r>
      <rPr>
        <b/>
        <sz val="12"/>
        <color theme="1"/>
        <rFont val="Times New Roman"/>
        <charset val="204"/>
      </rPr>
      <t>Employment Category</t>
    </r>
    <r>
      <rPr>
        <sz val="12"/>
        <color theme="1"/>
        <rFont val="Times New Roman"/>
        <charset val="204"/>
      </rPr>
      <t>:</t>
    </r>
  </si>
  <si>
    <r>
      <rPr>
        <sz val="12"/>
        <color theme="1"/>
        <rFont val="Times New Roman"/>
        <charset val="204"/>
      </rPr>
      <t xml:space="preserve">19. Создайте столбец </t>
    </r>
    <r>
      <rPr>
        <b/>
        <sz val="12"/>
        <color theme="1"/>
        <rFont val="Times New Roman"/>
        <charset val="204"/>
      </rPr>
      <t>Pay Category</t>
    </r>
    <r>
      <rPr>
        <sz val="12"/>
        <color theme="1"/>
        <rFont val="Times New Roman"/>
        <charset val="204"/>
      </rPr>
      <t>:</t>
    </r>
  </si>
  <si>
    <t>GW37</t>
  </si>
  <si>
    <t>Feldsott, George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</si>
  <si>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 xml:space="preserve">If HRS ≥ 40 → </t>
    </r>
    <r>
      <rPr>
        <b/>
        <sz val="12"/>
        <color theme="1"/>
        <rFont val="Times New Roman"/>
        <charset val="204"/>
      </rPr>
      <t>Full Load</t>
    </r>
  </si>
  <si>
    <r>
      <rPr>
        <sz val="12"/>
        <color theme="1"/>
        <rFont val="Times New Roman"/>
        <charset val="204"/>
      </rPr>
      <t xml:space="preserve">  Если </t>
    </r>
    <r>
      <rPr>
        <b/>
        <sz val="12"/>
        <color theme="1"/>
        <rFont val="Times New Roman"/>
        <charset val="204"/>
      </rPr>
      <t>Hourly Rate ≥ Average Hourly Rate</t>
    </r>
    <r>
      <rPr>
        <sz val="12"/>
        <color theme="1"/>
        <rFont val="Times New Roman"/>
        <charset val="204"/>
      </rPr>
      <t xml:space="preserve"> → </t>
    </r>
    <r>
      <rPr>
        <i/>
        <sz val="12"/>
        <color theme="1"/>
        <rFont val="Times New Roman"/>
        <charset val="204"/>
      </rPr>
      <t>Above Market</t>
    </r>
  </si>
  <si>
    <t>GC24</t>
  </si>
  <si>
    <t>Gibbs, Richard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</si>
  <si>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 xml:space="preserve">If HRS is between 30 and 39 → </t>
    </r>
    <r>
      <rPr>
        <b/>
        <sz val="12"/>
        <color theme="1"/>
        <rFont val="Times New Roman"/>
        <charset val="204"/>
      </rPr>
      <t>Moderate Load</t>
    </r>
  </si>
  <si>
    <r>
      <rPr>
        <sz val="12"/>
        <color theme="1"/>
        <rFont val="Times New Roman"/>
        <charset val="204"/>
      </rPr>
      <t xml:space="preserve">  Иначе → </t>
    </r>
    <r>
      <rPr>
        <i/>
        <sz val="12"/>
        <color theme="1"/>
        <rFont val="Times New Roman"/>
        <charset val="204"/>
      </rPr>
      <t>Below Market</t>
    </r>
  </si>
  <si>
    <t>CA18</t>
  </si>
  <si>
    <t>Gorski, George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</si>
  <si>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 xml:space="preserve">Else → </t>
    </r>
    <r>
      <rPr>
        <b/>
        <sz val="12"/>
        <color theme="1"/>
        <rFont val="Times New Roman"/>
        <charset val="204"/>
      </rPr>
      <t>Low Load</t>
    </r>
  </si>
  <si>
    <r>
      <rPr>
        <sz val="12"/>
        <color theme="1"/>
        <rFont val="Times New Roman"/>
        <charset val="204"/>
      </rPr>
      <t xml:space="preserve">20. Выведите </t>
    </r>
    <r>
      <rPr>
        <b/>
        <sz val="12"/>
        <color theme="1"/>
        <rFont val="Times New Roman"/>
        <charset val="204"/>
      </rPr>
      <t>GROSS PAY</t>
    </r>
    <r>
      <rPr>
        <sz val="12"/>
        <color theme="1"/>
        <rFont val="Times New Roman"/>
        <charset val="204"/>
      </rPr>
      <t xml:space="preserve"> по введенному </t>
    </r>
    <r>
      <rPr>
        <b/>
        <sz val="12"/>
        <color theme="1"/>
        <rFont val="Times New Roman"/>
        <charset val="204"/>
      </rPr>
      <t>EMP#</t>
    </r>
    <r>
      <rPr>
        <sz val="12"/>
        <color theme="1"/>
        <rFont val="Times New Roman"/>
        <charset val="204"/>
      </rPr>
      <t xml:space="preserve"> (используйте XLOOKUP/VLOOKUP).</t>
    </r>
  </si>
  <si>
    <t>CA26</t>
  </si>
  <si>
    <t>Halal, Cheryl</t>
  </si>
  <si>
    <r>
      <rPr>
        <sz val="12"/>
        <color theme="1"/>
        <rFont val="Times New Roman"/>
        <charset val="204"/>
      </rPr>
      <t>19.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Create a column </t>
    </r>
    <r>
      <rPr>
        <b/>
        <sz val="12"/>
        <color theme="1"/>
        <rFont val="Times New Roman"/>
        <charset val="204"/>
      </rPr>
      <t>Pay Category</t>
    </r>
    <r>
      <rPr>
        <sz val="12"/>
        <color theme="1"/>
        <rFont val="Times New Roman"/>
        <charset val="204"/>
      </rPr>
      <t>:</t>
    </r>
  </si>
  <si>
    <r>
      <rPr>
        <sz val="12"/>
        <color theme="1"/>
        <rFont val="Times New Roman"/>
        <charset val="204"/>
      </rPr>
      <t xml:space="preserve">21. Покажите </t>
    </r>
    <r>
      <rPr>
        <b/>
        <sz val="12"/>
        <color theme="1"/>
        <rFont val="Times New Roman"/>
        <charset val="204"/>
      </rPr>
      <t>среднюю заработную плату (Gross Pay)</t>
    </r>
    <r>
      <rPr>
        <sz val="12"/>
        <color theme="1"/>
        <rFont val="Times New Roman"/>
        <charset val="204"/>
      </rPr>
      <t xml:space="preserve"> по </t>
    </r>
    <r>
      <rPr>
        <b/>
        <sz val="12"/>
        <color theme="1"/>
        <rFont val="Times New Roman"/>
        <charset val="204"/>
      </rPr>
      <t>Division</t>
    </r>
    <r>
      <rPr>
        <sz val="12"/>
        <color theme="1"/>
        <rFont val="Times New Roman"/>
        <charset val="204"/>
      </rPr>
      <t>.</t>
    </r>
  </si>
  <si>
    <t>GBA33</t>
  </si>
  <si>
    <t>Hayes, Ted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</si>
  <si>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 xml:space="preserve">If Hourly Rate ≥ Average Hourly Rate → </t>
    </r>
    <r>
      <rPr>
        <b/>
        <sz val="12"/>
        <color theme="1"/>
        <rFont val="Times New Roman"/>
        <charset val="204"/>
      </rPr>
      <t>Above Market</t>
    </r>
  </si>
  <si>
    <r>
      <rPr>
        <sz val="12"/>
        <color theme="1"/>
        <rFont val="Times New Roman"/>
        <charset val="204"/>
      </rPr>
      <t xml:space="preserve">22. Покажите </t>
    </r>
    <r>
      <rPr>
        <b/>
        <sz val="12"/>
        <color theme="1"/>
        <rFont val="Times New Roman"/>
        <charset val="204"/>
      </rPr>
      <t>среднюю почасовую ставку</t>
    </r>
    <r>
      <rPr>
        <sz val="12"/>
        <color theme="1"/>
        <rFont val="Times New Roman"/>
        <charset val="204"/>
      </rPr>
      <t xml:space="preserve"> по </t>
    </r>
    <r>
      <rPr>
        <b/>
        <sz val="12"/>
        <color theme="1"/>
        <rFont val="Times New Roman"/>
        <charset val="204"/>
      </rPr>
      <t>Department</t>
    </r>
    <r>
      <rPr>
        <sz val="12"/>
        <color theme="1"/>
        <rFont val="Times New Roman"/>
        <charset val="204"/>
      </rPr>
      <t>.</t>
    </r>
  </si>
  <si>
    <t>GW18</t>
  </si>
  <si>
    <t>Hill, Carol</t>
  </si>
  <si>
    <r>
      <rPr>
        <sz val="10"/>
        <color theme="1"/>
        <rFont val="Courier New"/>
        <charset val="204"/>
      </rPr>
      <t>o</t>
    </r>
    <r>
      <rPr>
        <sz val="7"/>
        <color theme="1"/>
        <rFont val="Times New Roman"/>
        <charset val="204"/>
      </rPr>
      <t xml:space="preserve">   </t>
    </r>
    <r>
      <rPr>
        <sz val="12"/>
        <color theme="1"/>
        <rFont val="Times New Roman"/>
        <charset val="204"/>
      </rPr>
      <t xml:space="preserve">Else → </t>
    </r>
    <r>
      <rPr>
        <b/>
        <sz val="12"/>
        <color theme="1"/>
        <rFont val="Times New Roman"/>
        <charset val="204"/>
      </rPr>
      <t>Below Market</t>
    </r>
  </si>
  <si>
    <r>
      <rPr>
        <sz val="12"/>
        <color theme="1"/>
        <rFont val="Times New Roman"/>
        <charset val="204"/>
      </rPr>
      <t xml:space="preserve">23. Покажите, сколько сотрудников находится в каждом </t>
    </r>
    <r>
      <rPr>
        <b/>
        <sz val="12"/>
        <color theme="1"/>
        <rFont val="Times New Roman"/>
        <charset val="204"/>
      </rPr>
      <t>Division</t>
    </r>
    <r>
      <rPr>
        <sz val="12"/>
        <color theme="1"/>
        <rFont val="Times New Roman"/>
        <charset val="204"/>
      </rPr>
      <t>.</t>
    </r>
  </si>
  <si>
    <t>GBA21</t>
  </si>
  <si>
    <t>Hillen, Brooks</t>
  </si>
  <si>
    <r>
      <rPr>
        <sz val="12"/>
        <color theme="1"/>
        <rFont val="Times New Roman"/>
        <charset val="204"/>
      </rPr>
      <t>20.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Return the Gross Pay based on EMP#.</t>
    </r>
  </si>
  <si>
    <r>
      <rPr>
        <sz val="12"/>
        <color theme="1"/>
        <rFont val="Times New Roman"/>
        <charset val="204"/>
      </rPr>
      <t xml:space="preserve">24. Покажите </t>
    </r>
    <r>
      <rPr>
        <b/>
        <sz val="12"/>
        <color theme="1"/>
        <rFont val="Times New Roman"/>
        <charset val="204"/>
      </rPr>
      <t>общую сумму Gross Pay</t>
    </r>
    <r>
      <rPr>
        <sz val="12"/>
        <color theme="1"/>
        <rFont val="Times New Roman"/>
        <charset val="204"/>
      </rPr>
      <t xml:space="preserve"> по </t>
    </r>
    <r>
      <rPr>
        <b/>
        <sz val="12"/>
        <color theme="1"/>
        <rFont val="Times New Roman"/>
        <charset val="204"/>
      </rPr>
      <t>Status</t>
    </r>
    <r>
      <rPr>
        <sz val="12"/>
        <color theme="1"/>
        <rFont val="Times New Roman"/>
        <charset val="204"/>
      </rPr>
      <t xml:space="preserve"> (Full Time vs Part Time).</t>
    </r>
  </si>
  <si>
    <t>GW15</t>
  </si>
  <si>
    <t>Hinkelman, Brad</t>
  </si>
  <si>
    <r>
      <t>21.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Show average pay per division.</t>
    </r>
  </si>
  <si>
    <r>
      <rPr>
        <sz val="12"/>
        <color theme="1"/>
        <rFont val="Times New Roman"/>
        <charset val="204"/>
      </rPr>
      <t xml:space="preserve">25. Добавьте </t>
    </r>
    <r>
      <rPr>
        <b/>
        <sz val="12"/>
        <color theme="1"/>
        <rFont val="Times New Roman"/>
        <charset val="204"/>
      </rPr>
      <t>Slicer</t>
    </r>
    <r>
      <rPr>
        <sz val="12"/>
        <color theme="1"/>
        <rFont val="Times New Roman"/>
        <charset val="204"/>
      </rPr>
      <t xml:space="preserve"> по </t>
    </r>
    <r>
      <rPr>
        <b/>
        <sz val="12"/>
        <color theme="1"/>
        <rFont val="Times New Roman"/>
        <charset val="204"/>
      </rPr>
      <t>Division</t>
    </r>
    <r>
      <rPr>
        <sz val="12"/>
        <color theme="1"/>
        <rFont val="Times New Roman"/>
        <charset val="204"/>
      </rPr>
      <t>, чтобы Pivot обновлялся интерактивно.</t>
    </r>
  </si>
  <si>
    <t>GBS57</t>
  </si>
  <si>
    <t>Hoffman, Paul</t>
  </si>
  <si>
    <r>
      <rPr>
        <sz val="12"/>
        <color theme="1"/>
        <rFont val="Times New Roman"/>
        <charset val="204"/>
      </rPr>
      <t>22.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Show average hourly rate by Department. </t>
    </r>
  </si>
  <si>
    <r>
      <rPr>
        <sz val="12"/>
        <color theme="1"/>
        <rFont val="Times New Roman"/>
        <charset val="204"/>
      </rPr>
      <t xml:space="preserve">26. Создайте </t>
    </r>
    <r>
      <rPr>
        <b/>
        <sz val="12"/>
        <color theme="1"/>
        <rFont val="Times New Roman"/>
        <charset val="204"/>
      </rPr>
      <t>гистограмму</t>
    </r>
    <r>
      <rPr>
        <sz val="12"/>
        <color theme="1"/>
        <rFont val="Times New Roman"/>
        <charset val="204"/>
      </rPr>
      <t xml:space="preserve">, сравнивающую </t>
    </r>
    <r>
      <rPr>
        <b/>
        <sz val="12"/>
        <color theme="1"/>
        <rFont val="Times New Roman"/>
        <charset val="204"/>
      </rPr>
      <t>среднюю почасовую ставку по отделам</t>
    </r>
    <r>
      <rPr>
        <sz val="12"/>
        <color theme="1"/>
        <rFont val="Times New Roman"/>
        <charset val="204"/>
      </rPr>
      <t>.</t>
    </r>
  </si>
  <si>
    <t>GBW12</t>
  </si>
  <si>
    <t>Howard, Bradley</t>
  </si>
  <si>
    <r>
      <t>23.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Show how many employees are in each Division. </t>
    </r>
  </si>
  <si>
    <r>
      <rPr>
        <sz val="12"/>
        <color theme="1"/>
        <rFont val="Times New Roman"/>
        <charset val="204"/>
      </rPr>
      <t xml:space="preserve">27. Создайте </t>
    </r>
    <r>
      <rPr>
        <b/>
        <sz val="12"/>
        <color theme="1"/>
        <rFont val="Times New Roman"/>
        <charset val="204"/>
      </rPr>
      <t>диаграмму</t>
    </r>
    <r>
      <rPr>
        <sz val="12"/>
        <color theme="1"/>
        <rFont val="Times New Roman"/>
        <charset val="204"/>
      </rPr>
      <t xml:space="preserve">, показывающую распределение </t>
    </r>
    <r>
      <rPr>
        <b/>
        <sz val="12"/>
        <color theme="1"/>
        <rFont val="Times New Roman"/>
        <charset val="204"/>
      </rPr>
      <t>Full Time vs Part Time</t>
    </r>
    <r>
      <rPr>
        <sz val="12"/>
        <color theme="1"/>
        <rFont val="Times New Roman"/>
        <charset val="204"/>
      </rPr>
      <t xml:space="preserve"> сотрудников.</t>
    </r>
  </si>
  <si>
    <t>GBS59</t>
  </si>
  <si>
    <t>Hume, Chris</t>
  </si>
  <si>
    <r>
      <rPr>
        <sz val="12"/>
        <color theme="1"/>
        <rFont val="Times New Roman"/>
        <charset val="204"/>
      </rPr>
      <t>24.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Show total gross pay by status (full time vs part time).</t>
    </r>
  </si>
  <si>
    <r>
      <rPr>
        <sz val="12"/>
        <color theme="1"/>
        <rFont val="Times New Roman"/>
        <charset val="204"/>
      </rPr>
      <t xml:space="preserve">28. Создайте </t>
    </r>
    <r>
      <rPr>
        <b/>
        <sz val="12"/>
        <color theme="1"/>
        <rFont val="Times New Roman"/>
        <charset val="204"/>
      </rPr>
      <t>столбчатую диаграмму</t>
    </r>
    <r>
      <rPr>
        <sz val="12"/>
        <color theme="1"/>
        <rFont val="Times New Roman"/>
        <charset val="204"/>
      </rPr>
      <t xml:space="preserve">, показывающую </t>
    </r>
    <r>
      <rPr>
        <b/>
        <sz val="12"/>
        <color theme="1"/>
        <rFont val="Times New Roman"/>
        <charset val="204"/>
      </rPr>
      <t>Total Gross Pay</t>
    </r>
    <r>
      <rPr>
        <sz val="12"/>
        <color theme="1"/>
        <rFont val="Times New Roman"/>
        <charset val="204"/>
      </rPr>
      <t xml:space="preserve"> по </t>
    </r>
    <r>
      <rPr>
        <b/>
        <sz val="12"/>
        <color theme="1"/>
        <rFont val="Times New Roman"/>
        <charset val="204"/>
      </rPr>
      <t>Division</t>
    </r>
    <r>
      <rPr>
        <sz val="12"/>
        <color theme="1"/>
        <rFont val="Times New Roman"/>
        <charset val="204"/>
      </rPr>
      <t>.</t>
    </r>
  </si>
  <si>
    <t>GA27</t>
  </si>
  <si>
    <t>Jacobs, John</t>
  </si>
  <si>
    <r>
      <rPr>
        <sz val="12"/>
        <color theme="1"/>
        <rFont val="Times New Roman"/>
        <charset val="204"/>
      </rPr>
      <t>25.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 xml:space="preserve">Add a slicer for Division so the pivot updates interactively. </t>
    </r>
  </si>
  <si>
    <r>
      <rPr>
        <sz val="12"/>
        <color theme="1"/>
        <rFont val="Times New Roman"/>
        <charset val="204"/>
      </rPr>
      <t xml:space="preserve">29. Используйте условное форматирование, чтобы </t>
    </r>
    <r>
      <rPr>
        <b/>
        <sz val="12"/>
        <color theme="1"/>
        <rFont val="Times New Roman"/>
        <charset val="204"/>
      </rPr>
      <t>выделить сотрудников</t>
    </r>
    <r>
      <rPr>
        <sz val="12"/>
        <color theme="1"/>
        <rFont val="Times New Roman"/>
        <charset val="204"/>
      </rPr>
      <t xml:space="preserve">, у которых </t>
    </r>
    <r>
      <rPr>
        <b/>
        <sz val="12"/>
        <color theme="1"/>
        <rFont val="Times New Roman"/>
        <charset val="204"/>
      </rPr>
      <t>Gross Pay выше среднего</t>
    </r>
    <r>
      <rPr>
        <sz val="12"/>
        <color theme="1"/>
        <rFont val="Times New Roman"/>
        <charset val="204"/>
      </rPr>
      <t>.</t>
    </r>
  </si>
  <si>
    <t>GA49</t>
  </si>
  <si>
    <t>Kim, Sung</t>
  </si>
  <si>
    <r>
      <rPr>
        <sz val="12"/>
        <color theme="1"/>
        <rFont val="Times New Roman"/>
        <charset val="204"/>
      </rPr>
      <t>26.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Create a column chart comparing average hourly rate by department.</t>
    </r>
  </si>
  <si>
    <r>
      <rPr>
        <sz val="12"/>
        <color theme="1"/>
        <rFont val="Times New Roman"/>
        <charset val="204"/>
      </rPr>
      <t xml:space="preserve">30. Закрасьте сотрудников с </t>
    </r>
    <r>
      <rPr>
        <b/>
        <sz val="12"/>
        <color theme="1"/>
        <rFont val="Times New Roman"/>
        <charset val="204"/>
      </rPr>
      <t>Years Worked &gt; 10</t>
    </r>
    <r>
      <rPr>
        <sz val="12"/>
        <color theme="1"/>
        <rFont val="Times New Roman"/>
        <charset val="204"/>
      </rPr>
      <t xml:space="preserve"> в </t>
    </r>
    <r>
      <rPr>
        <b/>
        <sz val="12"/>
        <color theme="1"/>
        <rFont val="Times New Roman"/>
        <charset val="204"/>
      </rPr>
      <t>зеленый цвет</t>
    </r>
    <r>
      <rPr>
        <sz val="12"/>
        <color theme="1"/>
        <rFont val="Times New Roman"/>
        <charset val="204"/>
      </rPr>
      <t>.</t>
    </r>
  </si>
  <si>
    <t>GW29</t>
  </si>
  <si>
    <t>Kling, Sara</t>
  </si>
  <si>
    <r>
      <rPr>
        <sz val="12"/>
        <color theme="1"/>
        <rFont val="Times New Roman"/>
        <charset val="204"/>
      </rPr>
      <t>27.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Create a chart showing the distribution of Full Time vs Part Time employees.</t>
    </r>
  </si>
  <si>
    <t>AC49</t>
  </si>
  <si>
    <t>Kramer, Dean</t>
  </si>
  <si>
    <r>
      <rPr>
        <sz val="12"/>
        <color theme="1"/>
        <rFont val="Times New Roman"/>
        <charset val="204"/>
      </rPr>
      <t>28.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Create a bar chart showing Total Gross Pay per Division.</t>
    </r>
  </si>
  <si>
    <t>AW58</t>
  </si>
  <si>
    <t>Lewis, Michael</t>
  </si>
  <si>
    <r>
      <rPr>
        <sz val="12"/>
        <color theme="1"/>
        <rFont val="Times New Roman"/>
        <charset val="204"/>
      </rPr>
      <t>29.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Highlight employees whose Gross Pay is above the overall average.</t>
    </r>
  </si>
  <si>
    <t>GBA24</t>
  </si>
  <si>
    <t>Lillie, Christina</t>
  </si>
  <si>
    <r>
      <rPr>
        <sz val="12"/>
        <color theme="1"/>
        <rFont val="Times New Roman"/>
        <charset val="204"/>
      </rPr>
      <t>30.</t>
    </r>
    <r>
      <rPr>
        <sz val="7"/>
        <color theme="1"/>
        <rFont val="Times New Roman"/>
        <charset val="204"/>
      </rPr>
      <t xml:space="preserve">  </t>
    </r>
    <r>
      <rPr>
        <sz val="12"/>
        <color theme="1"/>
        <rFont val="Times New Roman"/>
        <charset val="204"/>
      </rPr>
      <t>Color employees with Years Worked &gt; 10 in green.</t>
    </r>
  </si>
  <si>
    <t>AW69</t>
  </si>
  <si>
    <t>Maccaluso, Joshua</t>
  </si>
  <si>
    <t>AW07</t>
  </si>
  <si>
    <t>MacFall, Jeri Lynn</t>
  </si>
  <si>
    <t>CA06</t>
  </si>
  <si>
    <t>Mallory, Fred</t>
  </si>
  <si>
    <t>GBS69</t>
  </si>
  <si>
    <t>Masters, Todd</t>
  </si>
  <si>
    <t>GBA29</t>
  </si>
  <si>
    <t>Mayron, Kathy</t>
  </si>
  <si>
    <t>GBC09</t>
  </si>
  <si>
    <t>Mazza, Dominick</t>
  </si>
  <si>
    <t>GA08</t>
  </si>
  <si>
    <t>McDonald, Jerry</t>
  </si>
  <si>
    <t>CS79</t>
  </si>
  <si>
    <t>Miller, Theresa</t>
  </si>
  <si>
    <t>GC02</t>
  </si>
  <si>
    <t>MSalesin, Paul</t>
  </si>
  <si>
    <t>GBW47</t>
  </si>
  <si>
    <t>Murray, Robert</t>
  </si>
  <si>
    <t>CA80</t>
  </si>
  <si>
    <t>Ness, Theodore</t>
  </si>
  <si>
    <t>AW48</t>
  </si>
  <si>
    <t>Owens, Alice</t>
  </si>
  <si>
    <t>AW09</t>
  </si>
  <si>
    <t>Parker, Joanne</t>
  </si>
  <si>
    <t>GC20</t>
  </si>
  <si>
    <t>Paterson, Henry</t>
  </si>
  <si>
    <t>GW11</t>
  </si>
  <si>
    <t>Petty, Sue</t>
  </si>
  <si>
    <t>GBW77</t>
  </si>
  <si>
    <t>Reagan, Laura</t>
  </si>
  <si>
    <t>CW03</t>
  </si>
  <si>
    <t>Reed, Chris</t>
  </si>
  <si>
    <t>CS15</t>
  </si>
  <si>
    <t>Reese, Donald</t>
  </si>
  <si>
    <t>GBC11</t>
  </si>
  <si>
    <t>Rich, James</t>
  </si>
  <si>
    <t>GBA28</t>
  </si>
  <si>
    <t>Richardson, Michael</t>
  </si>
  <si>
    <t>GA23</t>
  </si>
  <si>
    <t>Robinson, Paula</t>
  </si>
  <si>
    <t>CC76</t>
  </si>
  <si>
    <t>Rose, Seth</t>
  </si>
  <si>
    <t>AC17</t>
  </si>
  <si>
    <t>Simmons, Lynne</t>
  </si>
  <si>
    <t>GS07</t>
  </si>
  <si>
    <t>Simpson, Bill</t>
  </si>
  <si>
    <t>AS29</t>
  </si>
  <si>
    <t>Singer, Steve</t>
  </si>
  <si>
    <t>AS12</t>
  </si>
  <si>
    <t>Sloan, Grace</t>
  </si>
  <si>
    <t>GS40</t>
  </si>
  <si>
    <t>Smith, Brian</t>
  </si>
  <si>
    <t>GBA19</t>
  </si>
  <si>
    <t>Smith, Julia</t>
  </si>
  <si>
    <t>CS32</t>
  </si>
  <si>
    <t>Smith, Katie</t>
  </si>
  <si>
    <t>GS54</t>
  </si>
  <si>
    <t>Smith, Kim</t>
  </si>
  <si>
    <t>CW30</t>
  </si>
  <si>
    <t>Snyder, Jennifer</t>
  </si>
  <si>
    <t>GBC65</t>
  </si>
  <si>
    <t>Steadman, Molly</t>
  </si>
  <si>
    <t>GA57</t>
  </si>
  <si>
    <t>StewSales, Helen</t>
  </si>
  <si>
    <t>GW04</t>
  </si>
  <si>
    <t>Strong, Jeffrey</t>
  </si>
  <si>
    <t>AW04</t>
  </si>
  <si>
    <t>Sullivan, Lorrie</t>
  </si>
  <si>
    <t>GC25</t>
  </si>
  <si>
    <t>Swayne, Harry</t>
  </si>
  <si>
    <t>GC26</t>
  </si>
  <si>
    <t>Switzer, Maria</t>
  </si>
  <si>
    <t>GC07</t>
  </si>
  <si>
    <t>Taylor, Holly</t>
  </si>
  <si>
    <t>AC53</t>
  </si>
  <si>
    <t>Thomas, Greg</t>
  </si>
  <si>
    <t>AW59</t>
  </si>
  <si>
    <t>Tooley, Amy</t>
  </si>
  <si>
    <t>AC27</t>
  </si>
  <si>
    <t>Trelly, Edward</t>
  </si>
  <si>
    <t>GBA14</t>
  </si>
  <si>
    <t>Tucker, Carol</t>
  </si>
  <si>
    <t>GBW05</t>
  </si>
  <si>
    <t>Wheeler, Bill</t>
  </si>
  <si>
    <t>GS09</t>
  </si>
  <si>
    <t>Whitney, Sam</t>
  </si>
  <si>
    <t>AW39</t>
  </si>
  <si>
    <t>Williams, Esther</t>
  </si>
  <si>
    <t>GBW09</t>
  </si>
  <si>
    <t>Willis, Sean</t>
  </si>
  <si>
    <t>AA25</t>
  </si>
  <si>
    <t>Winger, Lindsey</t>
  </si>
  <si>
    <t>GBA23</t>
  </si>
  <si>
    <t>Winters, Jane</t>
  </si>
  <si>
    <t>Year Worked</t>
  </si>
  <si>
    <t>Experience Level</t>
  </si>
  <si>
    <t>Empoyment Category</t>
  </si>
  <si>
    <t>3.     Insert a new column Years Worked, computed as Years Worked = Current Year - Year(Date of Hire)</t>
  </si>
  <si>
    <t>DATE()</t>
  </si>
  <si>
    <t>4.     Split Employee names into columns: First Name and Last Name</t>
  </si>
  <si>
    <t>6.     Sort the data alphabetically by Last Name, then by Division.</t>
  </si>
  <si>
    <t>Pay Category</t>
  </si>
  <si>
    <t>7.     Freeze the header row for easier navigation.</t>
  </si>
  <si>
    <t>9.     Calculate the average hourly rate for all employees.</t>
  </si>
  <si>
    <t>10.  Calculate the maximum gross pay and minimum gross pay.</t>
  </si>
  <si>
    <t>11.  Count how many employees are Full Time vs Part Time.</t>
  </si>
  <si>
    <t>FullTime</t>
  </si>
  <si>
    <t>=COUNTIF(I2:I95;'Full Time')</t>
  </si>
  <si>
    <t>=COUNTIF(I2:I95;'Part Time')</t>
  </si>
  <si>
    <t>=FIND('Banks, Jacqueline')</t>
  </si>
  <si>
    <t>15.  Count how many employees were hired before 2010.</t>
  </si>
  <si>
    <t>16.  Determine the earliest hire date and latest hire date.</t>
  </si>
  <si>
    <t>Earliest</t>
  </si>
  <si>
    <t xml:space="preserve">23.  Show how many employees are in each Division. </t>
  </si>
  <si>
    <t>New jersey</t>
  </si>
  <si>
    <t>21.  Show average pay per division.</t>
  </si>
  <si>
    <t>AVG grosspay</t>
  </si>
  <si>
    <t>"$"# ##887,44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</si>
</sst>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&quot;$&quot;#\ ##0.00"/>
    <numFmt numFmtId="182" formatCode="dd\.mm\.yyyy;@"/>
  </numFmts>
  <fonts count="27">
    <font>
      <sz val="11"/>
      <color theme="1"/>
      <name val="Calibri"/>
      <charset val="204"/>
      <scheme val="minor"/>
    </font>
    <font>
      <sz val="12"/>
      <color theme="1"/>
      <name val="Times New Roman"/>
      <charset val="204"/>
    </font>
    <font>
      <sz val="10"/>
      <color theme="1"/>
      <name val="Courier New"/>
      <charset val="204"/>
    </font>
    <font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color theme="1"/>
      <name val="Times New Roman"/>
      <charset val="204"/>
    </font>
    <font>
      <b/>
      <sz val="12"/>
      <color theme="1"/>
      <name val="Times New Roman"/>
      <charset val="204"/>
    </font>
    <font>
      <i/>
      <sz val="12"/>
      <color theme="1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180" fontId="0" fillId="0" borderId="0" xfId="0" applyNumberFormat="1"/>
    <xf numFmtId="181" fontId="0" fillId="0" borderId="0" xfId="0" applyNumberFormat="1"/>
    <xf numFmtId="0" fontId="1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indent="10"/>
    </xf>
    <xf numFmtId="182" fontId="0" fillId="0" borderId="0" xfId="0" applyNumberFormat="1"/>
    <xf numFmtId="0" fontId="0" fillId="0" borderId="0" xfId="0" applyNumberFormat="1"/>
    <xf numFmtId="0" fontId="3" fillId="0" borderId="0" xfId="0" applyFont="1" applyAlignment="1">
      <alignment horizontal="left" vertical="center" indent="5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"/>
  <sheetViews>
    <sheetView tabSelected="1" zoomScale="130" zoomScaleNormal="130" workbookViewId="0">
      <selection activeCell="K48" sqref="K48"/>
    </sheetView>
  </sheetViews>
  <sheetFormatPr defaultColWidth="20.7777777777778" defaultRowHeight="14.4"/>
  <cols>
    <col min="8" max="8" width="24.9537037037037" customWidth="1"/>
    <col min="11" max="11" width="127.092592592593" customWidth="1"/>
  </cols>
  <sheetData>
    <row r="1" spans="1:1">
      <c r="A1" t="s">
        <v>0</v>
      </c>
    </row>
    <row r="3" spans="1:1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K3" t="s">
        <v>10</v>
      </c>
    </row>
    <row r="4" ht="15.6" spans="1:18">
      <c r="A4" t="s">
        <v>11</v>
      </c>
      <c r="B4" t="s">
        <v>12</v>
      </c>
      <c r="C4" t="s">
        <v>13</v>
      </c>
      <c r="D4" t="s">
        <v>14</v>
      </c>
      <c r="E4" s="1">
        <v>40380</v>
      </c>
      <c r="F4">
        <v>42</v>
      </c>
      <c r="G4" s="2">
        <v>27.4231033617227</v>
      </c>
      <c r="H4" s="2">
        <v>1151.77034119235</v>
      </c>
      <c r="I4" t="s">
        <v>15</v>
      </c>
      <c r="K4" s="3" t="s">
        <v>16</v>
      </c>
      <c r="R4" s="9" t="s">
        <v>17</v>
      </c>
    </row>
    <row r="5" ht="15.6" spans="1:18">
      <c r="A5" t="s">
        <v>18</v>
      </c>
      <c r="B5" t="s">
        <v>19</v>
      </c>
      <c r="C5" t="s">
        <v>20</v>
      </c>
      <c r="D5" t="s">
        <v>21</v>
      </c>
      <c r="E5" s="1">
        <v>40574</v>
      </c>
      <c r="F5">
        <v>35</v>
      </c>
      <c r="G5" s="2">
        <v>27.7308540634317</v>
      </c>
      <c r="H5" s="2">
        <v>970.57989222011</v>
      </c>
      <c r="I5" t="s">
        <v>22</v>
      </c>
      <c r="K5" s="3" t="s">
        <v>23</v>
      </c>
      <c r="R5" s="9" t="s">
        <v>24</v>
      </c>
    </row>
    <row r="6" ht="15.6" spans="1:18">
      <c r="A6" t="s">
        <v>25</v>
      </c>
      <c r="B6" t="s">
        <v>26</v>
      </c>
      <c r="C6" t="s">
        <v>27</v>
      </c>
      <c r="D6" t="s">
        <v>14</v>
      </c>
      <c r="E6" s="1">
        <v>39089</v>
      </c>
      <c r="F6">
        <v>42</v>
      </c>
      <c r="G6" s="2">
        <v>23.2385457007659</v>
      </c>
      <c r="H6" s="2">
        <v>976.018919432168</v>
      </c>
      <c r="I6" t="s">
        <v>15</v>
      </c>
      <c r="K6" s="3" t="s">
        <v>28</v>
      </c>
      <c r="R6" s="9" t="s">
        <v>29</v>
      </c>
    </row>
    <row r="7" ht="15.6" spans="1:18">
      <c r="A7" t="s">
        <v>30</v>
      </c>
      <c r="B7" t="s">
        <v>31</v>
      </c>
      <c r="C7" t="s">
        <v>20</v>
      </c>
      <c r="D7" t="s">
        <v>14</v>
      </c>
      <c r="E7" s="1">
        <v>40095</v>
      </c>
      <c r="F7">
        <v>40</v>
      </c>
      <c r="G7" s="2">
        <v>29.6040358356933</v>
      </c>
      <c r="H7" s="2">
        <v>1184.16143342773</v>
      </c>
      <c r="I7" t="s">
        <v>15</v>
      </c>
      <c r="K7" s="3" t="s">
        <v>32</v>
      </c>
      <c r="R7" s="9" t="s">
        <v>33</v>
      </c>
    </row>
    <row r="8" ht="15.6" spans="1:18">
      <c r="A8" t="s">
        <v>34</v>
      </c>
      <c r="B8" t="s">
        <v>35</v>
      </c>
      <c r="C8" t="s">
        <v>36</v>
      </c>
      <c r="D8" t="s">
        <v>14</v>
      </c>
      <c r="E8" s="1">
        <v>38863</v>
      </c>
      <c r="F8">
        <v>40</v>
      </c>
      <c r="G8" s="2">
        <v>20.2945957445476</v>
      </c>
      <c r="H8" s="2">
        <v>811.783829781904</v>
      </c>
      <c r="I8" t="s">
        <v>15</v>
      </c>
      <c r="R8" s="9" t="s">
        <v>37</v>
      </c>
    </row>
    <row r="9" ht="15.6" spans="1:18">
      <c r="A9" t="s">
        <v>38</v>
      </c>
      <c r="B9" t="s">
        <v>39</v>
      </c>
      <c r="C9" t="s">
        <v>27</v>
      </c>
      <c r="D9" t="s">
        <v>21</v>
      </c>
      <c r="E9" s="1">
        <v>39329</v>
      </c>
      <c r="F9">
        <v>29.5</v>
      </c>
      <c r="G9" s="2">
        <v>22.5040616496157</v>
      </c>
      <c r="H9" s="2">
        <v>663.869818663664</v>
      </c>
      <c r="I9" t="s">
        <v>22</v>
      </c>
      <c r="K9" s="3" t="s">
        <v>40</v>
      </c>
      <c r="R9" s="9" t="s">
        <v>41</v>
      </c>
    </row>
    <row r="10" ht="15.6" spans="1:18">
      <c r="A10" t="s">
        <v>42</v>
      </c>
      <c r="B10" t="s">
        <v>43</v>
      </c>
      <c r="C10" t="s">
        <v>27</v>
      </c>
      <c r="D10" t="s">
        <v>14</v>
      </c>
      <c r="E10" s="1">
        <v>38372</v>
      </c>
      <c r="F10">
        <v>35.5</v>
      </c>
      <c r="G10" s="2">
        <v>23.7146915473977</v>
      </c>
      <c r="H10" s="2">
        <v>841.87154993262</v>
      </c>
      <c r="I10" t="s">
        <v>22</v>
      </c>
      <c r="K10" s="7" t="s">
        <v>44</v>
      </c>
      <c r="R10" s="9" t="s">
        <v>45</v>
      </c>
    </row>
    <row r="11" ht="15.6" spans="1:18">
      <c r="A11" t="s">
        <v>46</v>
      </c>
      <c r="B11" t="s">
        <v>47</v>
      </c>
      <c r="C11" t="s">
        <v>27</v>
      </c>
      <c r="D11" t="s">
        <v>21</v>
      </c>
      <c r="E11" s="1">
        <v>37721</v>
      </c>
      <c r="F11">
        <v>40</v>
      </c>
      <c r="G11" s="2">
        <v>24.6342558337354</v>
      </c>
      <c r="H11" s="2">
        <v>985.370233349417</v>
      </c>
      <c r="I11" t="s">
        <v>15</v>
      </c>
      <c r="R11" s="9" t="s">
        <v>48</v>
      </c>
    </row>
    <row r="12" ht="15.6" spans="1:18">
      <c r="A12" t="s">
        <v>49</v>
      </c>
      <c r="B12" t="s">
        <v>50</v>
      </c>
      <c r="C12" t="s">
        <v>36</v>
      </c>
      <c r="D12" t="s">
        <v>51</v>
      </c>
      <c r="E12" s="1">
        <v>38014</v>
      </c>
      <c r="F12">
        <v>40</v>
      </c>
      <c r="G12" s="2">
        <v>24.0625161257531</v>
      </c>
      <c r="H12" s="2">
        <v>962.500645030123</v>
      </c>
      <c r="I12" t="s">
        <v>15</v>
      </c>
      <c r="K12" s="3" t="s">
        <v>52</v>
      </c>
      <c r="R12" s="9" t="s">
        <v>53</v>
      </c>
    </row>
    <row r="13" ht="15.6" spans="1:18">
      <c r="A13" t="s">
        <v>54</v>
      </c>
      <c r="B13" t="s">
        <v>55</v>
      </c>
      <c r="C13" t="s">
        <v>27</v>
      </c>
      <c r="D13" t="s">
        <v>14</v>
      </c>
      <c r="E13" s="1">
        <v>39406</v>
      </c>
      <c r="F13">
        <v>35.5</v>
      </c>
      <c r="G13" s="2">
        <v>22.4745266505368</v>
      </c>
      <c r="H13" s="2">
        <v>797.845696094057</v>
      </c>
      <c r="I13" t="s">
        <v>22</v>
      </c>
      <c r="R13" s="9" t="s">
        <v>56</v>
      </c>
    </row>
    <row r="14" ht="15.6" spans="1:18">
      <c r="A14" t="s">
        <v>57</v>
      </c>
      <c r="B14" t="s">
        <v>58</v>
      </c>
      <c r="C14" t="s">
        <v>36</v>
      </c>
      <c r="D14" t="s">
        <v>59</v>
      </c>
      <c r="E14" s="1">
        <v>40636</v>
      </c>
      <c r="F14">
        <v>40</v>
      </c>
      <c r="G14" s="2">
        <v>26.2274469754406</v>
      </c>
      <c r="H14" s="2">
        <v>1049.09787901763</v>
      </c>
      <c r="I14" t="s">
        <v>15</v>
      </c>
      <c r="K14" s="3" t="s">
        <v>60</v>
      </c>
      <c r="R14" s="9" t="s">
        <v>61</v>
      </c>
    </row>
    <row r="15" ht="15.6" spans="1:18">
      <c r="A15" t="s">
        <v>62</v>
      </c>
      <c r="B15" t="s">
        <v>63</v>
      </c>
      <c r="C15" t="s">
        <v>36</v>
      </c>
      <c r="D15" t="s">
        <v>59</v>
      </c>
      <c r="E15" s="1">
        <v>37299</v>
      </c>
      <c r="F15">
        <v>40</v>
      </c>
      <c r="G15" s="2">
        <v>20.4595521381667</v>
      </c>
      <c r="H15" s="2">
        <v>818.382085526669</v>
      </c>
      <c r="I15" t="s">
        <v>15</v>
      </c>
      <c r="R15" s="9" t="s">
        <v>64</v>
      </c>
    </row>
    <row r="16" ht="15.6" spans="1:18">
      <c r="A16" t="s">
        <v>65</v>
      </c>
      <c r="B16" t="s">
        <v>66</v>
      </c>
      <c r="C16" t="s">
        <v>36</v>
      </c>
      <c r="D16" t="s">
        <v>14</v>
      </c>
      <c r="E16" s="1">
        <v>39601</v>
      </c>
      <c r="F16">
        <v>40</v>
      </c>
      <c r="G16" s="2">
        <v>20.3846080101342</v>
      </c>
      <c r="H16" s="2">
        <v>815.384320405368</v>
      </c>
      <c r="I16" t="s">
        <v>15</v>
      </c>
      <c r="K16" s="3" t="s">
        <v>67</v>
      </c>
      <c r="R16" s="9" t="s">
        <v>68</v>
      </c>
    </row>
    <row r="17" ht="15.6" spans="1:18">
      <c r="A17" t="s">
        <v>69</v>
      </c>
      <c r="B17" t="s">
        <v>70</v>
      </c>
      <c r="C17" t="s">
        <v>36</v>
      </c>
      <c r="D17" t="s">
        <v>59</v>
      </c>
      <c r="E17" s="1">
        <v>39051</v>
      </c>
      <c r="F17">
        <v>15.5</v>
      </c>
      <c r="G17" s="2">
        <v>23.8590814253866</v>
      </c>
      <c r="H17" s="2">
        <v>369.815762093492</v>
      </c>
      <c r="I17" t="s">
        <v>22</v>
      </c>
      <c r="R17" s="9" t="s">
        <v>71</v>
      </c>
    </row>
    <row r="18" ht="15.6" spans="1:18">
      <c r="A18" t="s">
        <v>72</v>
      </c>
      <c r="B18" t="s">
        <v>73</v>
      </c>
      <c r="C18" t="s">
        <v>13</v>
      </c>
      <c r="D18" t="s">
        <v>59</v>
      </c>
      <c r="E18" s="1">
        <v>39223</v>
      </c>
      <c r="F18">
        <v>38</v>
      </c>
      <c r="G18" s="2">
        <v>26.2234936764226</v>
      </c>
      <c r="H18" s="2">
        <v>996.49275970406</v>
      </c>
      <c r="I18" t="s">
        <v>22</v>
      </c>
      <c r="K18" s="3" t="s">
        <v>74</v>
      </c>
      <c r="R18" s="9" t="s">
        <v>75</v>
      </c>
    </row>
    <row r="19" ht="15.6" spans="1:18">
      <c r="A19" t="s">
        <v>76</v>
      </c>
      <c r="B19" t="s">
        <v>77</v>
      </c>
      <c r="C19" t="s">
        <v>20</v>
      </c>
      <c r="D19" t="s">
        <v>59</v>
      </c>
      <c r="E19" s="1">
        <v>39259</v>
      </c>
      <c r="F19">
        <v>40</v>
      </c>
      <c r="G19" s="2">
        <v>24.122312108731</v>
      </c>
      <c r="H19" s="2">
        <v>964.89248434924</v>
      </c>
      <c r="I19" t="s">
        <v>15</v>
      </c>
      <c r="K19" s="3" t="s">
        <v>78</v>
      </c>
      <c r="R19" s="9" t="s">
        <v>79</v>
      </c>
    </row>
    <row r="20" ht="15.6" spans="1:18">
      <c r="A20" t="s">
        <v>80</v>
      </c>
      <c r="B20" t="s">
        <v>81</v>
      </c>
      <c r="C20" t="s">
        <v>27</v>
      </c>
      <c r="D20" t="s">
        <v>14</v>
      </c>
      <c r="E20" s="1">
        <v>40108</v>
      </c>
      <c r="F20">
        <v>40</v>
      </c>
      <c r="G20" s="2">
        <v>27.4278911367849</v>
      </c>
      <c r="H20" s="2">
        <v>1097.11564547139</v>
      </c>
      <c r="I20" t="s">
        <v>15</v>
      </c>
      <c r="K20" s="3" t="s">
        <v>82</v>
      </c>
      <c r="R20" s="9" t="s">
        <v>83</v>
      </c>
    </row>
    <row r="21" ht="15.6" spans="1:18">
      <c r="A21" t="s">
        <v>84</v>
      </c>
      <c r="B21" t="s">
        <v>85</v>
      </c>
      <c r="C21" t="s">
        <v>13</v>
      </c>
      <c r="D21" t="s">
        <v>14</v>
      </c>
      <c r="E21" s="1">
        <v>39865</v>
      </c>
      <c r="F21">
        <v>35</v>
      </c>
      <c r="G21" s="2">
        <v>24.9864365543203</v>
      </c>
      <c r="H21" s="2">
        <v>874.525279401211</v>
      </c>
      <c r="I21" t="s">
        <v>22</v>
      </c>
      <c r="K21" s="3" t="s">
        <v>86</v>
      </c>
      <c r="R21" s="9" t="s">
        <v>87</v>
      </c>
    </row>
    <row r="22" ht="15.6" spans="1:18">
      <c r="A22" t="s">
        <v>88</v>
      </c>
      <c r="B22" t="s">
        <v>89</v>
      </c>
      <c r="C22" t="s">
        <v>36</v>
      </c>
      <c r="D22" t="s">
        <v>51</v>
      </c>
      <c r="E22" s="1">
        <v>38551</v>
      </c>
      <c r="F22">
        <v>40</v>
      </c>
      <c r="G22" s="2">
        <v>28.1837716768448</v>
      </c>
      <c r="H22" s="2">
        <v>1127.35086707379</v>
      </c>
      <c r="I22" t="s">
        <v>15</v>
      </c>
      <c r="K22" s="4" t="s">
        <v>90</v>
      </c>
      <c r="R22" s="9" t="s">
        <v>91</v>
      </c>
    </row>
    <row r="23" ht="15.6" spans="1:18">
      <c r="A23" t="s">
        <v>92</v>
      </c>
      <c r="B23" t="s">
        <v>93</v>
      </c>
      <c r="C23" t="s">
        <v>20</v>
      </c>
      <c r="D23" t="s">
        <v>21</v>
      </c>
      <c r="E23" s="1">
        <v>38202</v>
      </c>
      <c r="F23">
        <v>35.5</v>
      </c>
      <c r="G23" s="2">
        <v>23.5513467037949</v>
      </c>
      <c r="H23" s="2">
        <v>836.072807984721</v>
      </c>
      <c r="I23" t="s">
        <v>22</v>
      </c>
      <c r="K23" s="4" t="s">
        <v>94</v>
      </c>
      <c r="R23" s="9" t="s">
        <v>95</v>
      </c>
    </row>
    <row r="24" ht="15.6" spans="1:18">
      <c r="A24" t="s">
        <v>96</v>
      </c>
      <c r="B24" t="s">
        <v>97</v>
      </c>
      <c r="C24" t="s">
        <v>20</v>
      </c>
      <c r="D24" t="s">
        <v>21</v>
      </c>
      <c r="E24" s="1">
        <v>39385</v>
      </c>
      <c r="F24">
        <v>38</v>
      </c>
      <c r="G24" s="2">
        <v>21.527759251738</v>
      </c>
      <c r="H24" s="2">
        <v>818.054851566046</v>
      </c>
      <c r="I24" t="s">
        <v>22</v>
      </c>
      <c r="K24" s="3" t="s">
        <v>98</v>
      </c>
      <c r="R24" s="9" t="s">
        <v>99</v>
      </c>
    </row>
    <row r="25" ht="15.6" spans="1:18">
      <c r="A25" t="s">
        <v>100</v>
      </c>
      <c r="B25" t="s">
        <v>101</v>
      </c>
      <c r="C25" t="s">
        <v>20</v>
      </c>
      <c r="D25" t="s">
        <v>21</v>
      </c>
      <c r="E25" s="1">
        <v>37877</v>
      </c>
      <c r="F25">
        <v>40</v>
      </c>
      <c r="G25" s="2">
        <v>29.435165359699</v>
      </c>
      <c r="H25" s="2">
        <v>1177.40661438796</v>
      </c>
      <c r="I25" t="s">
        <v>15</v>
      </c>
      <c r="K25" s="4" t="s">
        <v>102</v>
      </c>
      <c r="R25" s="9" t="s">
        <v>103</v>
      </c>
    </row>
    <row r="26" ht="15.6" spans="1:18">
      <c r="A26" t="s">
        <v>104</v>
      </c>
      <c r="B26" t="s">
        <v>105</v>
      </c>
      <c r="C26" t="s">
        <v>20</v>
      </c>
      <c r="D26" t="s">
        <v>21</v>
      </c>
      <c r="E26" s="1">
        <v>37779</v>
      </c>
      <c r="F26">
        <v>40</v>
      </c>
      <c r="G26" s="2">
        <v>28.5585427782549</v>
      </c>
      <c r="H26" s="2">
        <v>1142.3417111302</v>
      </c>
      <c r="I26" t="s">
        <v>15</v>
      </c>
      <c r="K26" s="4" t="s">
        <v>106</v>
      </c>
      <c r="R26" s="9" t="s">
        <v>107</v>
      </c>
    </row>
    <row r="27" ht="15.6" spans="1:18">
      <c r="A27" t="s">
        <v>108</v>
      </c>
      <c r="B27" t="s">
        <v>109</v>
      </c>
      <c r="C27" t="s">
        <v>13</v>
      </c>
      <c r="D27" t="s">
        <v>21</v>
      </c>
      <c r="E27" s="1">
        <v>40611</v>
      </c>
      <c r="F27">
        <v>35</v>
      </c>
      <c r="G27" s="2">
        <v>21.3408234410477</v>
      </c>
      <c r="H27" s="2">
        <v>746.928820436669</v>
      </c>
      <c r="I27" t="s">
        <v>22</v>
      </c>
      <c r="K27" s="4" t="s">
        <v>110</v>
      </c>
      <c r="R27" s="9" t="s">
        <v>111</v>
      </c>
    </row>
    <row r="28" ht="15.6" spans="1:18">
      <c r="A28" t="s">
        <v>112</v>
      </c>
      <c r="B28" t="s">
        <v>113</v>
      </c>
      <c r="C28" t="s">
        <v>13</v>
      </c>
      <c r="D28" t="s">
        <v>21</v>
      </c>
      <c r="E28" s="1">
        <v>38808</v>
      </c>
      <c r="F28">
        <v>25</v>
      </c>
      <c r="G28" s="2">
        <v>26.7983252095194</v>
      </c>
      <c r="H28" s="2">
        <v>669.958130237985</v>
      </c>
      <c r="I28" t="s">
        <v>22</v>
      </c>
      <c r="K28" s="3" t="s">
        <v>114</v>
      </c>
      <c r="R28" s="9" t="s">
        <v>115</v>
      </c>
    </row>
    <row r="29" ht="15.6" spans="1:18">
      <c r="A29" t="s">
        <v>116</v>
      </c>
      <c r="B29" t="s">
        <v>117</v>
      </c>
      <c r="C29" t="s">
        <v>20</v>
      </c>
      <c r="D29" t="s">
        <v>21</v>
      </c>
      <c r="E29" s="1">
        <v>39807</v>
      </c>
      <c r="F29">
        <v>32</v>
      </c>
      <c r="G29" s="2">
        <v>29.9348706756959</v>
      </c>
      <c r="H29" s="2">
        <v>957.915861622268</v>
      </c>
      <c r="I29" t="s">
        <v>22</v>
      </c>
      <c r="K29" s="3" t="s">
        <v>118</v>
      </c>
      <c r="R29" s="9" t="s">
        <v>119</v>
      </c>
    </row>
    <row r="30" ht="15.6" spans="1:18">
      <c r="A30" t="s">
        <v>120</v>
      </c>
      <c r="B30" t="s">
        <v>121</v>
      </c>
      <c r="C30" t="s">
        <v>20</v>
      </c>
      <c r="D30" t="s">
        <v>51</v>
      </c>
      <c r="E30" s="1">
        <v>39233</v>
      </c>
      <c r="F30">
        <v>35</v>
      </c>
      <c r="G30" s="2">
        <v>22.5344105761657</v>
      </c>
      <c r="H30" s="2">
        <v>788.704370165799</v>
      </c>
      <c r="I30" t="s">
        <v>22</v>
      </c>
      <c r="K30" s="3" t="s">
        <v>122</v>
      </c>
      <c r="R30" s="9" t="s">
        <v>123</v>
      </c>
    </row>
    <row r="31" ht="15.6" spans="1:18">
      <c r="A31" t="s">
        <v>124</v>
      </c>
      <c r="B31" t="s">
        <v>125</v>
      </c>
      <c r="C31" t="s">
        <v>20</v>
      </c>
      <c r="D31" t="s">
        <v>59</v>
      </c>
      <c r="E31" s="1">
        <v>40155</v>
      </c>
      <c r="F31">
        <v>25</v>
      </c>
      <c r="G31" s="2">
        <v>22.0288511044065</v>
      </c>
      <c r="H31" s="2">
        <v>550.721277610162</v>
      </c>
      <c r="I31" t="s">
        <v>22</v>
      </c>
      <c r="K31" s="3" t="s">
        <v>126</v>
      </c>
      <c r="R31" s="9" t="s">
        <v>127</v>
      </c>
    </row>
    <row r="32" ht="15.6" spans="1:18">
      <c r="A32" t="s">
        <v>128</v>
      </c>
      <c r="B32" t="s">
        <v>129</v>
      </c>
      <c r="C32" t="s">
        <v>20</v>
      </c>
      <c r="D32" t="s">
        <v>51</v>
      </c>
      <c r="E32" s="1">
        <v>38263</v>
      </c>
      <c r="F32">
        <v>40</v>
      </c>
      <c r="G32" s="2">
        <v>22.224435083452</v>
      </c>
      <c r="H32" s="2">
        <v>888.977403338081</v>
      </c>
      <c r="I32" t="s">
        <v>15</v>
      </c>
      <c r="K32" s="3" t="s">
        <v>130</v>
      </c>
      <c r="R32" s="9" t="s">
        <v>131</v>
      </c>
    </row>
    <row r="33" ht="15.6" spans="1:18">
      <c r="A33" t="s">
        <v>132</v>
      </c>
      <c r="B33" t="s">
        <v>133</v>
      </c>
      <c r="C33" t="s">
        <v>27</v>
      </c>
      <c r="D33" t="s">
        <v>14</v>
      </c>
      <c r="E33" s="1">
        <v>39414</v>
      </c>
      <c r="F33">
        <v>35.5</v>
      </c>
      <c r="G33" s="2">
        <v>24.0440594640406</v>
      </c>
      <c r="H33" s="2">
        <v>853.56411097344</v>
      </c>
      <c r="I33" t="s">
        <v>22</v>
      </c>
      <c r="K33" s="4" t="s">
        <v>134</v>
      </c>
      <c r="R33" s="9" t="s">
        <v>135</v>
      </c>
    </row>
    <row r="34" ht="15.6" spans="1:18">
      <c r="A34" t="s">
        <v>136</v>
      </c>
      <c r="B34" t="s">
        <v>137</v>
      </c>
      <c r="C34" t="s">
        <v>27</v>
      </c>
      <c r="D34" t="s">
        <v>21</v>
      </c>
      <c r="E34" s="1">
        <v>39831</v>
      </c>
      <c r="F34">
        <v>29.5</v>
      </c>
      <c r="G34" s="2">
        <v>27.9270088695213</v>
      </c>
      <c r="H34" s="2">
        <v>823.846761650878</v>
      </c>
      <c r="I34" t="s">
        <v>22</v>
      </c>
      <c r="K34" s="4" t="s">
        <v>138</v>
      </c>
      <c r="R34" s="9" t="s">
        <v>139</v>
      </c>
    </row>
    <row r="35" ht="15.6" spans="1:18">
      <c r="A35" t="s">
        <v>140</v>
      </c>
      <c r="B35" t="s">
        <v>141</v>
      </c>
      <c r="C35" t="s">
        <v>13</v>
      </c>
      <c r="D35" t="s">
        <v>59</v>
      </c>
      <c r="E35" s="1">
        <v>38474</v>
      </c>
      <c r="F35">
        <v>40</v>
      </c>
      <c r="G35" s="2">
        <v>25.3218774491568</v>
      </c>
      <c r="H35" s="2">
        <v>1012.87509796627</v>
      </c>
      <c r="I35" t="s">
        <v>15</v>
      </c>
      <c r="K35" s="4" t="s">
        <v>142</v>
      </c>
      <c r="R35" s="9" t="s">
        <v>143</v>
      </c>
    </row>
    <row r="36" ht="15.6" spans="1:18">
      <c r="A36" t="s">
        <v>144</v>
      </c>
      <c r="B36" t="s">
        <v>145</v>
      </c>
      <c r="C36" t="s">
        <v>13</v>
      </c>
      <c r="D36" t="s">
        <v>59</v>
      </c>
      <c r="E36" s="1">
        <v>40205</v>
      </c>
      <c r="F36">
        <v>35.5</v>
      </c>
      <c r="G36" s="2">
        <v>22.0416278412084</v>
      </c>
      <c r="H36" s="2">
        <v>782.477788362898</v>
      </c>
      <c r="I36" t="s">
        <v>22</v>
      </c>
      <c r="K36" s="3" t="s">
        <v>146</v>
      </c>
      <c r="R36" s="9" t="s">
        <v>147</v>
      </c>
    </row>
    <row r="37" ht="15.6" spans="1:18">
      <c r="A37" t="s">
        <v>148</v>
      </c>
      <c r="B37" t="s">
        <v>149</v>
      </c>
      <c r="C37" t="s">
        <v>20</v>
      </c>
      <c r="D37" t="s">
        <v>59</v>
      </c>
      <c r="E37" s="1">
        <v>39053</v>
      </c>
      <c r="F37">
        <v>32</v>
      </c>
      <c r="G37" s="2">
        <v>20.9360592580624</v>
      </c>
      <c r="H37" s="2">
        <v>669.953896257996</v>
      </c>
      <c r="I37" t="s">
        <v>22</v>
      </c>
      <c r="K37" s="4" t="s">
        <v>150</v>
      </c>
      <c r="R37" s="9" t="s">
        <v>151</v>
      </c>
    </row>
    <row r="38" ht="15.6" spans="1:18">
      <c r="A38" t="s">
        <v>152</v>
      </c>
      <c r="B38" t="s">
        <v>153</v>
      </c>
      <c r="C38" t="s">
        <v>27</v>
      </c>
      <c r="D38" t="s">
        <v>14</v>
      </c>
      <c r="E38" s="1">
        <v>38914</v>
      </c>
      <c r="F38">
        <v>35.5</v>
      </c>
      <c r="G38" s="2">
        <v>23.7804724680972</v>
      </c>
      <c r="H38" s="2">
        <v>844.206772617451</v>
      </c>
      <c r="I38" t="s">
        <v>22</v>
      </c>
      <c r="K38" s="4" t="s">
        <v>154</v>
      </c>
      <c r="R38" s="9" t="s">
        <v>155</v>
      </c>
    </row>
    <row r="39" ht="15.6" spans="1:18">
      <c r="A39" t="s">
        <v>156</v>
      </c>
      <c r="B39" t="s">
        <v>157</v>
      </c>
      <c r="C39" t="s">
        <v>20</v>
      </c>
      <c r="D39" t="s">
        <v>59</v>
      </c>
      <c r="E39" s="1">
        <v>38727</v>
      </c>
      <c r="F39">
        <v>35</v>
      </c>
      <c r="G39" s="2">
        <v>26.870973454107</v>
      </c>
      <c r="H39" s="2">
        <v>940.484070893745</v>
      </c>
      <c r="I39" t="s">
        <v>22</v>
      </c>
      <c r="K39" s="3" t="s">
        <v>158</v>
      </c>
      <c r="R39" s="9" t="s">
        <v>159</v>
      </c>
    </row>
    <row r="40" ht="15.6" spans="1:18">
      <c r="A40" t="s">
        <v>160</v>
      </c>
      <c r="B40" t="s">
        <v>161</v>
      </c>
      <c r="C40" t="s">
        <v>27</v>
      </c>
      <c r="D40" t="s">
        <v>14</v>
      </c>
      <c r="E40" s="1">
        <v>38659</v>
      </c>
      <c r="F40">
        <v>40</v>
      </c>
      <c r="G40" s="2">
        <v>28.0351807192208</v>
      </c>
      <c r="H40" s="2">
        <v>1121.40722876883</v>
      </c>
      <c r="I40" t="s">
        <v>15</v>
      </c>
      <c r="K40" s="3" t="s">
        <v>162</v>
      </c>
      <c r="R40" s="9" t="s">
        <v>163</v>
      </c>
    </row>
    <row r="41" ht="15.6" spans="1:18">
      <c r="A41" t="s">
        <v>164</v>
      </c>
      <c r="B41" t="s">
        <v>165</v>
      </c>
      <c r="C41" t="s">
        <v>20</v>
      </c>
      <c r="D41" t="s">
        <v>51</v>
      </c>
      <c r="E41" s="1">
        <v>39430</v>
      </c>
      <c r="F41">
        <v>40</v>
      </c>
      <c r="G41" s="2">
        <v>22.0025822256507</v>
      </c>
      <c r="H41" s="2">
        <v>880.10328902603</v>
      </c>
      <c r="I41" t="s">
        <v>15</v>
      </c>
      <c r="K41" s="3" t="s">
        <v>166</v>
      </c>
      <c r="R41" s="9" t="s">
        <v>167</v>
      </c>
    </row>
    <row r="42" ht="15.6" spans="1:18">
      <c r="A42" t="s">
        <v>168</v>
      </c>
      <c r="B42" t="s">
        <v>169</v>
      </c>
      <c r="C42" t="s">
        <v>20</v>
      </c>
      <c r="D42" t="s">
        <v>14</v>
      </c>
      <c r="E42" s="1">
        <v>38026</v>
      </c>
      <c r="F42">
        <v>40</v>
      </c>
      <c r="G42" s="2">
        <v>24.209926541516</v>
      </c>
      <c r="H42" s="2">
        <v>968.397061660642</v>
      </c>
      <c r="I42" t="s">
        <v>15</v>
      </c>
      <c r="K42" s="3" t="s">
        <v>170</v>
      </c>
      <c r="R42" s="9" t="s">
        <v>171</v>
      </c>
    </row>
    <row r="43" ht="15.6" spans="1:18">
      <c r="A43" t="s">
        <v>172</v>
      </c>
      <c r="B43" t="s">
        <v>173</v>
      </c>
      <c r="C43" t="s">
        <v>20</v>
      </c>
      <c r="D43" t="s">
        <v>51</v>
      </c>
      <c r="E43" s="1">
        <v>39575</v>
      </c>
      <c r="F43">
        <v>40</v>
      </c>
      <c r="G43" s="2">
        <v>26.4166446930878</v>
      </c>
      <c r="H43" s="2">
        <v>1056.66578772351</v>
      </c>
      <c r="I43" t="s">
        <v>15</v>
      </c>
      <c r="K43" s="3" t="s">
        <v>174</v>
      </c>
      <c r="R43" s="9" t="s">
        <v>175</v>
      </c>
    </row>
    <row r="44" ht="15.6" spans="1:18">
      <c r="A44" t="s">
        <v>176</v>
      </c>
      <c r="B44" t="s">
        <v>177</v>
      </c>
      <c r="C44" t="s">
        <v>27</v>
      </c>
      <c r="D44" t="s">
        <v>59</v>
      </c>
      <c r="E44" s="1">
        <v>38989</v>
      </c>
      <c r="F44">
        <v>40</v>
      </c>
      <c r="G44" s="2">
        <v>26.1563408101695</v>
      </c>
      <c r="H44" s="2">
        <v>1046.25363240678</v>
      </c>
      <c r="I44" t="s">
        <v>15</v>
      </c>
      <c r="K44" s="3" t="s">
        <v>178</v>
      </c>
      <c r="R44" s="9" t="s">
        <v>179</v>
      </c>
    </row>
    <row r="45" ht="15.6" spans="1:18">
      <c r="A45" t="s">
        <v>180</v>
      </c>
      <c r="B45" t="s">
        <v>181</v>
      </c>
      <c r="C45" t="s">
        <v>27</v>
      </c>
      <c r="D45" t="s">
        <v>59</v>
      </c>
      <c r="E45" s="1">
        <v>40127</v>
      </c>
      <c r="F45">
        <v>40</v>
      </c>
      <c r="G45" s="2">
        <v>28.8001607672559</v>
      </c>
      <c r="H45" s="2">
        <v>1152.00643069023</v>
      </c>
      <c r="I45" t="s">
        <v>15</v>
      </c>
      <c r="K45" s="3" t="s">
        <v>182</v>
      </c>
      <c r="R45" s="9" t="s">
        <v>183</v>
      </c>
    </row>
    <row r="46" ht="15.6" spans="1:11">
      <c r="A46" t="s">
        <v>184</v>
      </c>
      <c r="B46" t="s">
        <v>185</v>
      </c>
      <c r="C46" t="s">
        <v>27</v>
      </c>
      <c r="D46" t="s">
        <v>14</v>
      </c>
      <c r="E46" s="1">
        <v>39070</v>
      </c>
      <c r="F46">
        <v>35.5</v>
      </c>
      <c r="G46" s="2">
        <v>24.7005037048751</v>
      </c>
      <c r="H46" s="2">
        <v>876.867881523066</v>
      </c>
      <c r="I46" t="s">
        <v>22</v>
      </c>
      <c r="K46" s="3" t="s">
        <v>186</v>
      </c>
    </row>
    <row r="47" ht="15.6" spans="1:11">
      <c r="A47" t="s">
        <v>187</v>
      </c>
      <c r="B47" t="s">
        <v>188</v>
      </c>
      <c r="C47" t="s">
        <v>36</v>
      </c>
      <c r="D47" t="s">
        <v>21</v>
      </c>
      <c r="E47" s="1">
        <v>39251</v>
      </c>
      <c r="F47">
        <v>40</v>
      </c>
      <c r="G47" s="2">
        <v>24.7208809045488</v>
      </c>
      <c r="H47" s="2">
        <v>988.835236181952</v>
      </c>
      <c r="I47" t="s">
        <v>15</v>
      </c>
      <c r="K47" s="3" t="s">
        <v>189</v>
      </c>
    </row>
    <row r="48" ht="15.6" spans="1:11">
      <c r="A48" t="s">
        <v>190</v>
      </c>
      <c r="B48" t="s">
        <v>191</v>
      </c>
      <c r="C48" t="s">
        <v>36</v>
      </c>
      <c r="D48" t="s">
        <v>14</v>
      </c>
      <c r="E48" s="1">
        <v>39925</v>
      </c>
      <c r="F48">
        <v>15.5</v>
      </c>
      <c r="G48" s="2">
        <v>22.0461359567629</v>
      </c>
      <c r="H48" s="2">
        <v>341.715107329824</v>
      </c>
      <c r="I48" t="s">
        <v>22</v>
      </c>
      <c r="K48" s="3" t="s">
        <v>192</v>
      </c>
    </row>
    <row r="49" ht="15.6" spans="1:11">
      <c r="A49" t="s">
        <v>193</v>
      </c>
      <c r="B49" t="s">
        <v>194</v>
      </c>
      <c r="C49" t="s">
        <v>20</v>
      </c>
      <c r="D49" t="s">
        <v>59</v>
      </c>
      <c r="E49" s="1">
        <v>39226</v>
      </c>
      <c r="F49">
        <v>25</v>
      </c>
      <c r="G49" s="2">
        <v>29.0167556854929</v>
      </c>
      <c r="H49" s="2">
        <v>725.418892137322</v>
      </c>
      <c r="I49" t="s">
        <v>22</v>
      </c>
      <c r="K49" s="3" t="s">
        <v>195</v>
      </c>
    </row>
    <row r="50" spans="1:11">
      <c r="A50" t="s">
        <v>196</v>
      </c>
      <c r="B50" t="s">
        <v>197</v>
      </c>
      <c r="C50" t="s">
        <v>36</v>
      </c>
      <c r="D50" t="s">
        <v>14</v>
      </c>
      <c r="E50" s="1">
        <v>40561</v>
      </c>
      <c r="F50">
        <v>40</v>
      </c>
      <c r="G50" s="2">
        <v>27.3588677466791</v>
      </c>
      <c r="H50" s="2">
        <v>1094.35470986716</v>
      </c>
      <c r="I50" t="s">
        <v>15</v>
      </c>
      <c r="K50" s="8"/>
    </row>
    <row r="51" spans="1:9">
      <c r="A51" t="s">
        <v>198</v>
      </c>
      <c r="B51" t="s">
        <v>199</v>
      </c>
      <c r="C51" t="s">
        <v>36</v>
      </c>
      <c r="D51" t="s">
        <v>14</v>
      </c>
      <c r="E51" s="1">
        <v>38080</v>
      </c>
      <c r="F51">
        <v>40</v>
      </c>
      <c r="G51" s="2">
        <v>23.5591787626696</v>
      </c>
      <c r="H51" s="2">
        <v>942.367150506783</v>
      </c>
      <c r="I51" t="s">
        <v>15</v>
      </c>
    </row>
    <row r="52" spans="1:9">
      <c r="A52" t="s">
        <v>200</v>
      </c>
      <c r="B52" t="s">
        <v>201</v>
      </c>
      <c r="C52" t="s">
        <v>13</v>
      </c>
      <c r="D52" t="s">
        <v>59</v>
      </c>
      <c r="E52" s="1">
        <v>37784</v>
      </c>
      <c r="F52">
        <v>38</v>
      </c>
      <c r="G52" s="2">
        <v>25.8959240312466</v>
      </c>
      <c r="H52" s="2">
        <v>984.04511318737</v>
      </c>
      <c r="I52" t="s">
        <v>22</v>
      </c>
    </row>
    <row r="53" spans="1:9">
      <c r="A53" t="s">
        <v>202</v>
      </c>
      <c r="B53" t="s">
        <v>203</v>
      </c>
      <c r="C53" t="s">
        <v>20</v>
      </c>
      <c r="D53" t="s">
        <v>51</v>
      </c>
      <c r="E53" s="1">
        <v>40135</v>
      </c>
      <c r="F53">
        <v>40</v>
      </c>
      <c r="G53" s="2">
        <v>23.7440482448647</v>
      </c>
      <c r="H53" s="2">
        <v>949.761929794589</v>
      </c>
      <c r="I53" t="s">
        <v>15</v>
      </c>
    </row>
    <row r="54" spans="1:9">
      <c r="A54" t="s">
        <v>204</v>
      </c>
      <c r="B54" t="s">
        <v>205</v>
      </c>
      <c r="C54" t="s">
        <v>20</v>
      </c>
      <c r="D54" t="s">
        <v>59</v>
      </c>
      <c r="E54" s="1">
        <v>38851</v>
      </c>
      <c r="F54">
        <v>40</v>
      </c>
      <c r="G54" s="2">
        <v>22.1172203389426</v>
      </c>
      <c r="H54" s="2">
        <v>884.688813557704</v>
      </c>
      <c r="I54" t="s">
        <v>15</v>
      </c>
    </row>
    <row r="55" spans="1:9">
      <c r="A55" t="s">
        <v>206</v>
      </c>
      <c r="B55" t="s">
        <v>207</v>
      </c>
      <c r="C55" t="s">
        <v>20</v>
      </c>
      <c r="D55" t="s">
        <v>21</v>
      </c>
      <c r="E55" s="1">
        <v>38995</v>
      </c>
      <c r="F55">
        <v>40</v>
      </c>
      <c r="G55" s="2">
        <v>28.5041873925272</v>
      </c>
      <c r="H55" s="2">
        <v>1140.16749570109</v>
      </c>
      <c r="I55" t="s">
        <v>15</v>
      </c>
    </row>
    <row r="56" spans="1:9">
      <c r="A56" t="s">
        <v>208</v>
      </c>
      <c r="B56" t="s">
        <v>209</v>
      </c>
      <c r="C56" t="s">
        <v>27</v>
      </c>
      <c r="D56" t="s">
        <v>59</v>
      </c>
      <c r="E56" s="1">
        <v>37439</v>
      </c>
      <c r="F56">
        <v>40</v>
      </c>
      <c r="G56" s="2">
        <v>23.8861934229302</v>
      </c>
      <c r="H56" s="2">
        <v>955.447736917208</v>
      </c>
      <c r="I56" t="s">
        <v>15</v>
      </c>
    </row>
    <row r="57" spans="1:9">
      <c r="A57" t="s">
        <v>210</v>
      </c>
      <c r="B57" t="s">
        <v>211</v>
      </c>
      <c r="C57" t="s">
        <v>13</v>
      </c>
      <c r="D57" t="s">
        <v>51</v>
      </c>
      <c r="E57" s="1">
        <v>40601</v>
      </c>
      <c r="F57">
        <v>40</v>
      </c>
      <c r="G57" s="2">
        <v>24.4318025315317</v>
      </c>
      <c r="H57" s="2">
        <v>977.272101261268</v>
      </c>
      <c r="I57" t="s">
        <v>15</v>
      </c>
    </row>
    <row r="58" spans="1:9">
      <c r="A58" t="s">
        <v>212</v>
      </c>
      <c r="B58" t="s">
        <v>213</v>
      </c>
      <c r="C58" t="s">
        <v>27</v>
      </c>
      <c r="D58" t="s">
        <v>21</v>
      </c>
      <c r="E58" s="1">
        <v>36264</v>
      </c>
      <c r="F58">
        <v>40</v>
      </c>
      <c r="G58" s="2">
        <v>24.3651867901812</v>
      </c>
      <c r="H58" s="2">
        <v>974.607471607247</v>
      </c>
      <c r="I58" t="s">
        <v>15</v>
      </c>
    </row>
    <row r="59" spans="1:9">
      <c r="A59" t="s">
        <v>214</v>
      </c>
      <c r="B59" t="s">
        <v>215</v>
      </c>
      <c r="C59" t="s">
        <v>20</v>
      </c>
      <c r="D59" t="s">
        <v>14</v>
      </c>
      <c r="E59" s="1">
        <v>39238</v>
      </c>
      <c r="F59">
        <v>40</v>
      </c>
      <c r="G59" s="2">
        <v>26.7929940105714</v>
      </c>
      <c r="H59" s="2">
        <v>1071.71976042286</v>
      </c>
      <c r="I59" t="s">
        <v>15</v>
      </c>
    </row>
    <row r="60" spans="1:9">
      <c r="A60" t="s">
        <v>216</v>
      </c>
      <c r="B60" t="s">
        <v>217</v>
      </c>
      <c r="C60" t="s">
        <v>13</v>
      </c>
      <c r="D60" t="s">
        <v>59</v>
      </c>
      <c r="E60" s="1">
        <v>40754</v>
      </c>
      <c r="F60">
        <v>32</v>
      </c>
      <c r="G60" s="2">
        <v>26.9521621799409</v>
      </c>
      <c r="H60" s="2">
        <v>862.46918975811</v>
      </c>
      <c r="I60" t="s">
        <v>22</v>
      </c>
    </row>
    <row r="61" spans="1:9">
      <c r="A61" t="s">
        <v>218</v>
      </c>
      <c r="B61" t="s">
        <v>219</v>
      </c>
      <c r="C61" t="s">
        <v>36</v>
      </c>
      <c r="D61" t="s">
        <v>14</v>
      </c>
      <c r="E61" s="1">
        <v>39138</v>
      </c>
      <c r="F61">
        <v>15.5</v>
      </c>
      <c r="G61" s="2">
        <v>26.3802017837466</v>
      </c>
      <c r="H61" s="2">
        <v>408.893127648072</v>
      </c>
      <c r="I61" t="s">
        <v>22</v>
      </c>
    </row>
    <row r="62" spans="1:9">
      <c r="A62" t="s">
        <v>220</v>
      </c>
      <c r="B62" t="s">
        <v>221</v>
      </c>
      <c r="C62" t="s">
        <v>36</v>
      </c>
      <c r="D62" t="s">
        <v>14</v>
      </c>
      <c r="E62" s="1">
        <v>38217</v>
      </c>
      <c r="F62">
        <v>40</v>
      </c>
      <c r="G62" s="2">
        <v>29.4332293587101</v>
      </c>
      <c r="H62" s="2">
        <v>1177.32917434841</v>
      </c>
      <c r="I62" t="s">
        <v>15</v>
      </c>
    </row>
    <row r="63" spans="1:9">
      <c r="A63" t="s">
        <v>222</v>
      </c>
      <c r="B63" t="s">
        <v>223</v>
      </c>
      <c r="C63" t="s">
        <v>27</v>
      </c>
      <c r="D63" t="s">
        <v>21</v>
      </c>
      <c r="E63" s="1">
        <v>39378</v>
      </c>
      <c r="F63">
        <v>40</v>
      </c>
      <c r="G63" s="2">
        <v>22.9135978775507</v>
      </c>
      <c r="H63" s="2">
        <v>916.54391510203</v>
      </c>
      <c r="I63" t="s">
        <v>15</v>
      </c>
    </row>
    <row r="64" spans="1:9">
      <c r="A64" t="s">
        <v>224</v>
      </c>
      <c r="B64" t="s">
        <v>225</v>
      </c>
      <c r="C64" t="s">
        <v>27</v>
      </c>
      <c r="D64" t="s">
        <v>14</v>
      </c>
      <c r="E64" s="1">
        <v>41968</v>
      </c>
      <c r="F64">
        <v>40</v>
      </c>
      <c r="G64" s="2">
        <v>21.063510642513</v>
      </c>
      <c r="H64" s="2">
        <v>842.540425700521</v>
      </c>
      <c r="I64" t="s">
        <v>15</v>
      </c>
    </row>
    <row r="65" spans="1:9">
      <c r="A65" t="s">
        <v>226</v>
      </c>
      <c r="B65" t="s">
        <v>227</v>
      </c>
      <c r="C65" t="s">
        <v>20</v>
      </c>
      <c r="D65" t="s">
        <v>14</v>
      </c>
      <c r="E65" s="1">
        <v>40397</v>
      </c>
      <c r="F65">
        <v>35</v>
      </c>
      <c r="G65" s="2">
        <v>26.1930616475145</v>
      </c>
      <c r="H65" s="2">
        <v>916.757157663007</v>
      </c>
      <c r="I65" t="s">
        <v>22</v>
      </c>
    </row>
    <row r="66" spans="1:9">
      <c r="A66" t="s">
        <v>228</v>
      </c>
      <c r="B66" t="s">
        <v>229</v>
      </c>
      <c r="C66" t="s">
        <v>13</v>
      </c>
      <c r="D66" t="s">
        <v>14</v>
      </c>
      <c r="E66" s="1">
        <v>38068</v>
      </c>
      <c r="F66">
        <v>35.5</v>
      </c>
      <c r="G66" s="2">
        <v>26.441106244959</v>
      </c>
      <c r="H66" s="2">
        <v>938.659271696046</v>
      </c>
      <c r="I66" t="s">
        <v>22</v>
      </c>
    </row>
    <row r="67" spans="1:9">
      <c r="A67" t="s">
        <v>230</v>
      </c>
      <c r="B67" t="s">
        <v>231</v>
      </c>
      <c r="C67" t="s">
        <v>13</v>
      </c>
      <c r="D67" t="s">
        <v>51</v>
      </c>
      <c r="E67" s="1">
        <v>38211</v>
      </c>
      <c r="F67">
        <v>32</v>
      </c>
      <c r="G67" s="2">
        <v>20.8628676904625</v>
      </c>
      <c r="H67" s="2">
        <v>667.6117660948</v>
      </c>
      <c r="I67" t="s">
        <v>22</v>
      </c>
    </row>
    <row r="68" spans="1:9">
      <c r="A68" t="s">
        <v>232</v>
      </c>
      <c r="B68" t="s">
        <v>233</v>
      </c>
      <c r="C68" t="s">
        <v>20</v>
      </c>
      <c r="D68" t="s">
        <v>21</v>
      </c>
      <c r="E68" s="1">
        <v>38996</v>
      </c>
      <c r="F68">
        <v>35.5</v>
      </c>
      <c r="G68" s="2">
        <v>27.930629937317</v>
      </c>
      <c r="H68" s="2">
        <v>991.537362774752</v>
      </c>
      <c r="I68" t="s">
        <v>22</v>
      </c>
    </row>
    <row r="69" spans="1:9">
      <c r="A69" t="s">
        <v>234</v>
      </c>
      <c r="B69" t="s">
        <v>235</v>
      </c>
      <c r="C69" t="s">
        <v>20</v>
      </c>
      <c r="D69" t="s">
        <v>59</v>
      </c>
      <c r="E69" s="1">
        <v>38794</v>
      </c>
      <c r="F69">
        <v>35</v>
      </c>
      <c r="G69" s="2">
        <v>28.2341643857546</v>
      </c>
      <c r="H69" s="2">
        <v>988.195753501409</v>
      </c>
      <c r="I69" t="s">
        <v>22</v>
      </c>
    </row>
    <row r="70" spans="1:9">
      <c r="A70" t="s">
        <v>236</v>
      </c>
      <c r="B70" t="s">
        <v>237</v>
      </c>
      <c r="C70" t="s">
        <v>27</v>
      </c>
      <c r="D70" t="s">
        <v>59</v>
      </c>
      <c r="E70" s="1">
        <v>39418</v>
      </c>
      <c r="F70">
        <v>29.5</v>
      </c>
      <c r="G70" s="2">
        <v>27.2459372602021</v>
      </c>
      <c r="H70" s="2">
        <v>803.755149175961</v>
      </c>
      <c r="I70" t="s">
        <v>22</v>
      </c>
    </row>
    <row r="71" spans="1:9">
      <c r="A71" t="s">
        <v>238</v>
      </c>
      <c r="B71" t="s">
        <v>239</v>
      </c>
      <c r="C71" t="s">
        <v>13</v>
      </c>
      <c r="D71" t="s">
        <v>21</v>
      </c>
      <c r="E71" s="1">
        <v>40268</v>
      </c>
      <c r="F71">
        <v>32</v>
      </c>
      <c r="G71" s="2">
        <v>24.7808249198699</v>
      </c>
      <c r="H71" s="2">
        <v>792.986397435835</v>
      </c>
      <c r="I71" t="s">
        <v>22</v>
      </c>
    </row>
    <row r="72" spans="1:9">
      <c r="A72" t="s">
        <v>240</v>
      </c>
      <c r="B72" t="s">
        <v>241</v>
      </c>
      <c r="C72" t="s">
        <v>36</v>
      </c>
      <c r="D72" t="s">
        <v>21</v>
      </c>
      <c r="E72" s="1">
        <v>39770</v>
      </c>
      <c r="F72">
        <v>35</v>
      </c>
      <c r="G72" s="2">
        <v>20.9514694627171</v>
      </c>
      <c r="H72" s="2">
        <v>733.301431195098</v>
      </c>
      <c r="I72" t="s">
        <v>22</v>
      </c>
    </row>
    <row r="73" spans="1:9">
      <c r="A73" t="s">
        <v>242</v>
      </c>
      <c r="B73" t="s">
        <v>243</v>
      </c>
      <c r="C73" t="s">
        <v>27</v>
      </c>
      <c r="D73" t="s">
        <v>51</v>
      </c>
      <c r="E73" s="1">
        <v>37263</v>
      </c>
      <c r="F73">
        <v>40</v>
      </c>
      <c r="G73" s="2">
        <v>24.2132465350738</v>
      </c>
      <c r="H73" s="2">
        <v>968.529861402952</v>
      </c>
      <c r="I73" t="s">
        <v>15</v>
      </c>
    </row>
    <row r="74" spans="1:9">
      <c r="A74" t="s">
        <v>244</v>
      </c>
      <c r="B74" t="s">
        <v>245</v>
      </c>
      <c r="C74" t="s">
        <v>36</v>
      </c>
      <c r="D74" t="s">
        <v>51</v>
      </c>
      <c r="E74" s="1">
        <v>38990</v>
      </c>
      <c r="F74">
        <v>40</v>
      </c>
      <c r="G74" s="2">
        <v>26.6733350813367</v>
      </c>
      <c r="H74" s="2">
        <v>1066.93340325347</v>
      </c>
      <c r="I74" t="s">
        <v>15</v>
      </c>
    </row>
    <row r="75" spans="1:9">
      <c r="A75" t="s">
        <v>246</v>
      </c>
      <c r="B75" t="s">
        <v>247</v>
      </c>
      <c r="C75" t="s">
        <v>36</v>
      </c>
      <c r="D75" t="s">
        <v>51</v>
      </c>
      <c r="E75" s="1">
        <v>38288</v>
      </c>
      <c r="F75">
        <v>40</v>
      </c>
      <c r="G75" s="2">
        <v>23.270898653239</v>
      </c>
      <c r="H75" s="2">
        <v>930.835946129561</v>
      </c>
      <c r="I75" t="s">
        <v>15</v>
      </c>
    </row>
    <row r="76" spans="1:9">
      <c r="A76" t="s">
        <v>248</v>
      </c>
      <c r="B76" t="s">
        <v>249</v>
      </c>
      <c r="C76" t="s">
        <v>27</v>
      </c>
      <c r="D76" t="s">
        <v>51</v>
      </c>
      <c r="E76" s="1">
        <v>39752</v>
      </c>
      <c r="F76">
        <v>40</v>
      </c>
      <c r="G76" s="2">
        <v>29.6126531698801</v>
      </c>
      <c r="H76" s="2">
        <v>1184.5061267952</v>
      </c>
      <c r="I76" t="s">
        <v>15</v>
      </c>
    </row>
    <row r="77" spans="1:9">
      <c r="A77" t="s">
        <v>250</v>
      </c>
      <c r="B77" t="s">
        <v>251</v>
      </c>
      <c r="C77" t="s">
        <v>20</v>
      </c>
      <c r="D77" t="s">
        <v>59</v>
      </c>
      <c r="E77" s="1">
        <v>38029</v>
      </c>
      <c r="F77">
        <v>25</v>
      </c>
      <c r="G77" s="2">
        <v>27.1249727517577</v>
      </c>
      <c r="H77" s="2">
        <v>678.124318793942</v>
      </c>
      <c r="I77" t="s">
        <v>22</v>
      </c>
    </row>
    <row r="78" spans="1:9">
      <c r="A78" t="s">
        <v>252</v>
      </c>
      <c r="B78" t="s">
        <v>253</v>
      </c>
      <c r="C78" t="s">
        <v>13</v>
      </c>
      <c r="D78" t="s">
        <v>51</v>
      </c>
      <c r="E78" s="1">
        <v>38990</v>
      </c>
      <c r="F78">
        <v>40</v>
      </c>
      <c r="G78" s="2">
        <v>20.55570522982</v>
      </c>
      <c r="H78" s="2">
        <v>822.2282091928</v>
      </c>
      <c r="I78" t="s">
        <v>15</v>
      </c>
    </row>
    <row r="79" spans="1:9">
      <c r="A79" t="s">
        <v>254</v>
      </c>
      <c r="B79" t="s">
        <v>255</v>
      </c>
      <c r="C79" t="s">
        <v>27</v>
      </c>
      <c r="D79" t="s">
        <v>51</v>
      </c>
      <c r="E79" s="1">
        <v>40139</v>
      </c>
      <c r="F79">
        <v>42</v>
      </c>
      <c r="G79" s="2">
        <v>23.7429467910733</v>
      </c>
      <c r="H79" s="2">
        <v>997.20376522508</v>
      </c>
      <c r="I79" t="s">
        <v>15</v>
      </c>
    </row>
    <row r="80" spans="1:9">
      <c r="A80" t="s">
        <v>256</v>
      </c>
      <c r="B80" t="s">
        <v>257</v>
      </c>
      <c r="C80" t="s">
        <v>13</v>
      </c>
      <c r="D80" t="s">
        <v>14</v>
      </c>
      <c r="E80" s="1">
        <v>39601</v>
      </c>
      <c r="F80">
        <v>25</v>
      </c>
      <c r="G80" s="2">
        <v>20.6563505176776</v>
      </c>
      <c r="H80" s="2">
        <v>516.40876294194</v>
      </c>
      <c r="I80" t="s">
        <v>22</v>
      </c>
    </row>
    <row r="81" spans="1:9">
      <c r="A81" t="s">
        <v>258</v>
      </c>
      <c r="B81" t="s">
        <v>259</v>
      </c>
      <c r="C81" t="s">
        <v>20</v>
      </c>
      <c r="D81" t="s">
        <v>21</v>
      </c>
      <c r="E81" s="1">
        <v>40035</v>
      </c>
      <c r="F81">
        <v>40</v>
      </c>
      <c r="G81" s="2">
        <v>24.7613808611318</v>
      </c>
      <c r="H81" s="2">
        <v>990.455234445274</v>
      </c>
      <c r="I81" t="s">
        <v>15</v>
      </c>
    </row>
    <row r="82" spans="1:9">
      <c r="A82" t="s">
        <v>260</v>
      </c>
      <c r="B82" t="s">
        <v>261</v>
      </c>
      <c r="C82" t="s">
        <v>27</v>
      </c>
      <c r="D82" t="s">
        <v>59</v>
      </c>
      <c r="E82" s="1">
        <v>40296</v>
      </c>
      <c r="F82">
        <v>42</v>
      </c>
      <c r="G82" s="2">
        <v>21.2089102328483</v>
      </c>
      <c r="H82" s="2">
        <v>890.774229779629</v>
      </c>
      <c r="I82" t="s">
        <v>15</v>
      </c>
    </row>
    <row r="83" spans="1:9">
      <c r="A83" t="s">
        <v>262</v>
      </c>
      <c r="B83" t="s">
        <v>263</v>
      </c>
      <c r="C83" t="s">
        <v>27</v>
      </c>
      <c r="D83" t="s">
        <v>14</v>
      </c>
      <c r="E83" s="1">
        <v>36953</v>
      </c>
      <c r="F83">
        <v>40</v>
      </c>
      <c r="G83" s="2">
        <v>29.6869323887969</v>
      </c>
      <c r="H83" s="2">
        <v>1187.47729555188</v>
      </c>
      <c r="I83" t="s">
        <v>15</v>
      </c>
    </row>
    <row r="84" spans="1:9">
      <c r="A84" t="s">
        <v>264</v>
      </c>
      <c r="B84" t="s">
        <v>265</v>
      </c>
      <c r="C84" t="s">
        <v>36</v>
      </c>
      <c r="D84" t="s">
        <v>14</v>
      </c>
      <c r="E84" s="1">
        <v>36948</v>
      </c>
      <c r="F84">
        <v>15.5</v>
      </c>
      <c r="G84" s="2">
        <v>27.0324725336245</v>
      </c>
      <c r="H84" s="2">
        <v>419.003324271179</v>
      </c>
      <c r="I84" t="s">
        <v>22</v>
      </c>
    </row>
    <row r="85" spans="1:9">
      <c r="A85" t="s">
        <v>266</v>
      </c>
      <c r="B85" t="s">
        <v>267</v>
      </c>
      <c r="C85" t="s">
        <v>27</v>
      </c>
      <c r="D85" t="s">
        <v>21</v>
      </c>
      <c r="E85" s="1">
        <v>40537</v>
      </c>
      <c r="F85">
        <v>40</v>
      </c>
      <c r="G85" s="2">
        <v>23.8393078808562</v>
      </c>
      <c r="H85" s="2">
        <v>953.572315234248</v>
      </c>
      <c r="I85" t="s">
        <v>15</v>
      </c>
    </row>
    <row r="86" spans="1:9">
      <c r="A86" t="s">
        <v>268</v>
      </c>
      <c r="B86" t="s">
        <v>269</v>
      </c>
      <c r="C86" t="s">
        <v>27</v>
      </c>
      <c r="D86" t="s">
        <v>21</v>
      </c>
      <c r="E86" s="1">
        <v>40692</v>
      </c>
      <c r="F86">
        <v>29.5</v>
      </c>
      <c r="G86" s="2">
        <v>26.1711140052097</v>
      </c>
      <c r="H86" s="2">
        <v>772.047863153687</v>
      </c>
      <c r="I86" t="s">
        <v>22</v>
      </c>
    </row>
    <row r="87" spans="1:9">
      <c r="A87" t="s">
        <v>270</v>
      </c>
      <c r="B87" t="s">
        <v>271</v>
      </c>
      <c r="C87" t="s">
        <v>27</v>
      </c>
      <c r="D87" t="s">
        <v>21</v>
      </c>
      <c r="E87" s="1">
        <v>38211</v>
      </c>
      <c r="F87">
        <v>29.5</v>
      </c>
      <c r="G87" s="2">
        <v>24.9382581014963</v>
      </c>
      <c r="H87" s="2">
        <v>735.67861399414</v>
      </c>
      <c r="I87" t="s">
        <v>22</v>
      </c>
    </row>
    <row r="88" spans="1:9">
      <c r="A88" t="s">
        <v>272</v>
      </c>
      <c r="B88" t="s">
        <v>273</v>
      </c>
      <c r="C88" t="s">
        <v>36</v>
      </c>
      <c r="D88" t="s">
        <v>21</v>
      </c>
      <c r="E88" s="1">
        <v>39435</v>
      </c>
      <c r="F88">
        <v>40</v>
      </c>
      <c r="G88" s="2">
        <v>21.9331419032506</v>
      </c>
      <c r="H88" s="2">
        <v>877.325676130023</v>
      </c>
      <c r="I88" t="s">
        <v>15</v>
      </c>
    </row>
    <row r="89" spans="1:9">
      <c r="A89" t="s">
        <v>274</v>
      </c>
      <c r="B89" t="s">
        <v>275</v>
      </c>
      <c r="C89" t="s">
        <v>36</v>
      </c>
      <c r="D89" t="s">
        <v>14</v>
      </c>
      <c r="E89" s="1">
        <v>40417</v>
      </c>
      <c r="F89">
        <v>15.5</v>
      </c>
      <c r="G89" s="2">
        <v>22.2269085765447</v>
      </c>
      <c r="H89" s="2">
        <v>344.517082936443</v>
      </c>
      <c r="I89" t="s">
        <v>22</v>
      </c>
    </row>
    <row r="90" spans="1:9">
      <c r="A90" t="s">
        <v>276</v>
      </c>
      <c r="B90" t="s">
        <v>277</v>
      </c>
      <c r="C90" t="s">
        <v>36</v>
      </c>
      <c r="D90" t="s">
        <v>21</v>
      </c>
      <c r="E90" s="1">
        <v>38880</v>
      </c>
      <c r="F90">
        <v>40</v>
      </c>
      <c r="G90" s="2">
        <v>28.5121956001453</v>
      </c>
      <c r="H90" s="2">
        <v>1140.48782400581</v>
      </c>
      <c r="I90" t="s">
        <v>15</v>
      </c>
    </row>
    <row r="91" spans="1:9">
      <c r="A91" t="s">
        <v>278</v>
      </c>
      <c r="B91" t="s">
        <v>279</v>
      </c>
      <c r="C91" t="s">
        <v>20</v>
      </c>
      <c r="D91" t="s">
        <v>59</v>
      </c>
      <c r="E91" s="1">
        <v>38084</v>
      </c>
      <c r="F91">
        <v>38</v>
      </c>
      <c r="G91" s="2">
        <v>26.1580386214767</v>
      </c>
      <c r="H91" s="2">
        <v>994.005467616114</v>
      </c>
      <c r="I91" t="s">
        <v>22</v>
      </c>
    </row>
    <row r="92" spans="1:9">
      <c r="A92" t="s">
        <v>280</v>
      </c>
      <c r="B92" t="s">
        <v>281</v>
      </c>
      <c r="C92" t="s">
        <v>20</v>
      </c>
      <c r="D92" t="s">
        <v>14</v>
      </c>
      <c r="E92" s="1">
        <v>37112</v>
      </c>
      <c r="F92">
        <v>38</v>
      </c>
      <c r="G92" s="2">
        <v>29.9674239695174</v>
      </c>
      <c r="H92" s="2">
        <v>1138.76211084166</v>
      </c>
      <c r="I92" t="s">
        <v>22</v>
      </c>
    </row>
    <row r="93" spans="1:9">
      <c r="A93" t="s">
        <v>282</v>
      </c>
      <c r="B93" t="s">
        <v>283</v>
      </c>
      <c r="C93" t="s">
        <v>27</v>
      </c>
      <c r="D93" t="s">
        <v>51</v>
      </c>
      <c r="E93" s="1">
        <v>37948</v>
      </c>
      <c r="F93">
        <v>40</v>
      </c>
      <c r="G93" s="2">
        <v>25.3452862696831</v>
      </c>
      <c r="H93" s="2">
        <v>1013.81145078732</v>
      </c>
      <c r="I93" t="s">
        <v>15</v>
      </c>
    </row>
    <row r="94" spans="1:9">
      <c r="A94" t="s">
        <v>284</v>
      </c>
      <c r="B94" t="s">
        <v>285</v>
      </c>
      <c r="C94" t="s">
        <v>36</v>
      </c>
      <c r="D94" t="s">
        <v>14</v>
      </c>
      <c r="E94" s="1">
        <v>39059</v>
      </c>
      <c r="F94">
        <v>40</v>
      </c>
      <c r="G94" s="2">
        <v>25.6019372294119</v>
      </c>
      <c r="H94" s="2">
        <v>1024.07748917648</v>
      </c>
      <c r="I94" t="s">
        <v>15</v>
      </c>
    </row>
    <row r="95" spans="1:9">
      <c r="A95" t="s">
        <v>286</v>
      </c>
      <c r="B95" t="s">
        <v>287</v>
      </c>
      <c r="C95" t="s">
        <v>20</v>
      </c>
      <c r="D95" t="s">
        <v>14</v>
      </c>
      <c r="E95" s="1">
        <v>38533</v>
      </c>
      <c r="F95">
        <v>35.5</v>
      </c>
      <c r="G95" s="2">
        <v>23.9214244689799</v>
      </c>
      <c r="H95" s="2">
        <v>849.210568648788</v>
      </c>
      <c r="I95" t="s">
        <v>22</v>
      </c>
    </row>
    <row r="96" spans="1:9">
      <c r="A96" t="s">
        <v>288</v>
      </c>
      <c r="B96" t="s">
        <v>289</v>
      </c>
      <c r="C96" t="s">
        <v>36</v>
      </c>
      <c r="D96" t="s">
        <v>59</v>
      </c>
      <c r="E96" s="1">
        <v>38744</v>
      </c>
      <c r="F96">
        <v>35</v>
      </c>
      <c r="G96" s="2">
        <v>20.3208991153415</v>
      </c>
      <c r="H96" s="2">
        <v>711.231469036951</v>
      </c>
      <c r="I96" t="s">
        <v>22</v>
      </c>
    </row>
    <row r="97" spans="1:9">
      <c r="A97" t="s">
        <v>290</v>
      </c>
      <c r="B97" t="s">
        <v>291</v>
      </c>
      <c r="C97" t="s">
        <v>20</v>
      </c>
      <c r="D97" t="s">
        <v>59</v>
      </c>
      <c r="E97" s="1">
        <v>40119</v>
      </c>
      <c r="F97">
        <v>35</v>
      </c>
      <c r="G97" s="2">
        <v>27.5256373926534</v>
      </c>
      <c r="H97" s="2">
        <v>963.397308742868</v>
      </c>
      <c r="I97" t="s">
        <v>22</v>
      </c>
    </row>
    <row r="98" spans="8:8">
      <c r="H98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5"/>
  <sheetViews>
    <sheetView zoomScale="85" zoomScaleNormal="85" workbookViewId="0">
      <selection activeCell="K3" sqref="K2:K95"/>
    </sheetView>
  </sheetViews>
  <sheetFormatPr defaultColWidth="8.88888888888889" defaultRowHeight="14.4"/>
  <cols>
    <col min="4" max="4" width="14.6666666666667" customWidth="1"/>
    <col min="9" max="9" width="17.3888888888889" customWidth="1"/>
    <col min="10" max="14" width="21.4444444444444" customWidth="1"/>
  </cols>
  <sheetData>
    <row r="1" spans="1:1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292</v>
      </c>
      <c r="J1" t="s">
        <v>293</v>
      </c>
      <c r="K1" t="s">
        <v>294</v>
      </c>
      <c r="P1" t="s">
        <v>295</v>
      </c>
    </row>
    <row r="2" ht="15.6" spans="1:16">
      <c r="A2" t="s">
        <v>12</v>
      </c>
      <c r="B2" t="s">
        <v>13</v>
      </c>
      <c r="C2" t="s">
        <v>14</v>
      </c>
      <c r="D2" s="1">
        <v>40380</v>
      </c>
      <c r="E2">
        <v>42</v>
      </c>
      <c r="F2" s="2">
        <v>27.4231033617227</v>
      </c>
      <c r="G2" s="2">
        <v>1151.77034119235</v>
      </c>
      <c r="H2" t="s">
        <v>15</v>
      </c>
      <c r="I2" t="s">
        <v>296</v>
      </c>
      <c r="K2" t="str" cm="1">
        <f t="array" ref="K2">_xlfn.IFS(E2&gt;=40,"Full Load",E2&lt;30,"Low Load",,"Moderate Load")</f>
        <v>Full Load</v>
      </c>
      <c r="P2" s="3" t="s">
        <v>86</v>
      </c>
    </row>
    <row r="3" ht="15.6" spans="1:16">
      <c r="A3" t="s">
        <v>19</v>
      </c>
      <c r="B3" t="s">
        <v>20</v>
      </c>
      <c r="C3" t="s">
        <v>21</v>
      </c>
      <c r="D3" s="1">
        <v>40574</v>
      </c>
      <c r="E3">
        <v>35</v>
      </c>
      <c r="F3" s="2">
        <v>27.7308540634317</v>
      </c>
      <c r="G3" s="2">
        <v>970.57989222011</v>
      </c>
      <c r="H3" t="s">
        <v>22</v>
      </c>
      <c r="K3" t="e" cm="1">
        <f t="array" ref="K3">_xlfn.IFS(E3&gt;=40,"Full Load",E3&lt;30,"Low Load",,"Moderate Load")</f>
        <v>#N/A</v>
      </c>
      <c r="P3" s="4" t="s">
        <v>90</v>
      </c>
    </row>
    <row r="4" ht="15.6" spans="1:16">
      <c r="A4" t="s">
        <v>26</v>
      </c>
      <c r="B4" t="s">
        <v>27</v>
      </c>
      <c r="C4" t="s">
        <v>14</v>
      </c>
      <c r="D4" s="1">
        <v>39089</v>
      </c>
      <c r="E4">
        <v>42</v>
      </c>
      <c r="F4" s="2">
        <v>23.2385457007659</v>
      </c>
      <c r="G4" s="2">
        <v>976.018919432168</v>
      </c>
      <c r="H4" t="s">
        <v>15</v>
      </c>
      <c r="K4" t="str" cm="1">
        <f t="array" ref="K4">_xlfn.IFS(E4&gt;=40,"Full Load",E4&lt;30,"Low Load",,"Moderate Load")</f>
        <v>Full Load</v>
      </c>
      <c r="P4" s="4" t="s">
        <v>94</v>
      </c>
    </row>
    <row r="5" spans="1:11">
      <c r="A5" t="s">
        <v>31</v>
      </c>
      <c r="B5" t="s">
        <v>20</v>
      </c>
      <c r="C5" t="s">
        <v>14</v>
      </c>
      <c r="D5" s="1">
        <v>40095</v>
      </c>
      <c r="E5">
        <v>40</v>
      </c>
      <c r="F5" s="2">
        <v>29.6040358356933</v>
      </c>
      <c r="G5" s="2">
        <v>1184.16143342773</v>
      </c>
      <c r="H5" t="s">
        <v>15</v>
      </c>
      <c r="K5" t="str" cm="1">
        <f t="array" ref="K5">_xlfn.IFS(E5&gt;=40,"Full Load",E5&lt;30,"Low Load",,"Moderate Load")</f>
        <v>Full Load</v>
      </c>
    </row>
    <row r="6" spans="1:11">
      <c r="A6" t="s">
        <v>35</v>
      </c>
      <c r="B6" t="s">
        <v>36</v>
      </c>
      <c r="C6" t="s">
        <v>14</v>
      </c>
      <c r="D6" s="1">
        <v>38863</v>
      </c>
      <c r="E6">
        <v>40</v>
      </c>
      <c r="F6" s="2">
        <v>20.2945957445476</v>
      </c>
      <c r="G6" s="2">
        <v>811.783829781904</v>
      </c>
      <c r="H6" t="s">
        <v>15</v>
      </c>
      <c r="K6" t="str" cm="1">
        <f t="array" ref="K6">_xlfn.IFS(E6&gt;=40,"Full Load",E6&lt;30,"Low Load",,"Moderate Load")</f>
        <v>Full Load</v>
      </c>
    </row>
    <row r="7" ht="15.6" spans="1:16">
      <c r="A7" t="s">
        <v>39</v>
      </c>
      <c r="B7" t="s">
        <v>27</v>
      </c>
      <c r="C7" t="s">
        <v>21</v>
      </c>
      <c r="D7" s="1">
        <v>39329</v>
      </c>
      <c r="E7">
        <v>29.5</v>
      </c>
      <c r="F7" s="2">
        <v>22.5040616496157</v>
      </c>
      <c r="G7" s="2">
        <v>663.869818663664</v>
      </c>
      <c r="H7" t="s">
        <v>22</v>
      </c>
      <c r="K7" t="str" cm="1">
        <f t="array" ref="K7">_xlfn.IFS(E7&gt;=40,"Full Load",E7&lt;30,"Low Load",,"Moderate Load")</f>
        <v>Low Load</v>
      </c>
      <c r="P7" s="3" t="s">
        <v>130</v>
      </c>
    </row>
    <row r="8" ht="15.6" spans="1:16">
      <c r="A8" t="s">
        <v>43</v>
      </c>
      <c r="B8" t="s">
        <v>27</v>
      </c>
      <c r="C8" t="s">
        <v>14</v>
      </c>
      <c r="D8" s="1">
        <v>38372</v>
      </c>
      <c r="E8">
        <v>35.5</v>
      </c>
      <c r="F8" s="2">
        <v>23.7146915473977</v>
      </c>
      <c r="G8" s="2">
        <v>841.87154993262</v>
      </c>
      <c r="H8" t="s">
        <v>22</v>
      </c>
      <c r="K8" t="e" cm="1">
        <f t="array" ref="K8">_xlfn.IFS(E8&gt;=40,"Full Load",E8&lt;30,"Low Load",,"Moderate Load")</f>
        <v>#N/A</v>
      </c>
      <c r="P8" s="4" t="s">
        <v>134</v>
      </c>
    </row>
    <row r="9" ht="15.6" spans="1:16">
      <c r="A9" t="s">
        <v>47</v>
      </c>
      <c r="B9" t="s">
        <v>27</v>
      </c>
      <c r="C9" t="s">
        <v>21</v>
      </c>
      <c r="D9" s="1">
        <v>37721</v>
      </c>
      <c r="E9">
        <v>40</v>
      </c>
      <c r="F9" s="2">
        <v>24.6342558337354</v>
      </c>
      <c r="G9" s="2">
        <v>985.370233349417</v>
      </c>
      <c r="H9" t="s">
        <v>15</v>
      </c>
      <c r="K9" t="str" cm="1">
        <f t="array" ref="K9">_xlfn.IFS(E9&gt;=40,"Full Load",E9&lt;30,"Low Load",,"Moderate Load")</f>
        <v>Full Load</v>
      </c>
      <c r="P9" s="4" t="s">
        <v>138</v>
      </c>
    </row>
    <row r="10" ht="15.6" spans="1:16">
      <c r="A10" t="s">
        <v>50</v>
      </c>
      <c r="B10" t="s">
        <v>36</v>
      </c>
      <c r="C10" t="s">
        <v>51</v>
      </c>
      <c r="D10" s="1">
        <v>38014</v>
      </c>
      <c r="E10">
        <v>40</v>
      </c>
      <c r="F10" s="2">
        <v>24.0625161257531</v>
      </c>
      <c r="G10" s="2">
        <v>962.500645030123</v>
      </c>
      <c r="H10" t="s">
        <v>15</v>
      </c>
      <c r="K10" t="str" cm="1">
        <f t="array" ref="K10">_xlfn.IFS(E10&gt;=40,"Full Load",E10&lt;30,"Low Load",,"Moderate Load")</f>
        <v>Full Load</v>
      </c>
      <c r="P10" s="4" t="s">
        <v>142</v>
      </c>
    </row>
    <row r="11" spans="1:11">
      <c r="A11" t="s">
        <v>55</v>
      </c>
      <c r="B11" t="s">
        <v>27</v>
      </c>
      <c r="C11" t="s">
        <v>14</v>
      </c>
      <c r="D11" s="1">
        <v>39406</v>
      </c>
      <c r="E11">
        <v>35.5</v>
      </c>
      <c r="F11" s="2">
        <v>22.4745266505368</v>
      </c>
      <c r="G11" s="2">
        <v>797.845696094057</v>
      </c>
      <c r="H11" t="s">
        <v>22</v>
      </c>
      <c r="K11" t="e" cm="1">
        <f t="array" ref="K11">_xlfn.IFS(E11&gt;=40,"Full Load",E11&lt;30,"Low Load",,"Moderate Load")</f>
        <v>#N/A</v>
      </c>
    </row>
    <row r="12" spans="1:11">
      <c r="A12" t="s">
        <v>58</v>
      </c>
      <c r="B12" t="s">
        <v>36</v>
      </c>
      <c r="C12" t="s">
        <v>59</v>
      </c>
      <c r="D12" s="1">
        <v>40636</v>
      </c>
      <c r="E12">
        <v>40</v>
      </c>
      <c r="F12" s="2">
        <v>26.2274469754406</v>
      </c>
      <c r="G12" s="2">
        <v>1049.09787901763</v>
      </c>
      <c r="H12" t="s">
        <v>15</v>
      </c>
      <c r="K12" t="str" cm="1">
        <f t="array" ref="K12">_xlfn.IFS(E12&gt;=40,"Full Load",E12&lt;30,"Low Load",,"Moderate Load")</f>
        <v>Full Load</v>
      </c>
    </row>
    <row r="13" spans="1:11">
      <c r="A13" t="s">
        <v>63</v>
      </c>
      <c r="B13" t="s">
        <v>36</v>
      </c>
      <c r="C13" t="s">
        <v>59</v>
      </c>
      <c r="D13" s="1">
        <v>37299</v>
      </c>
      <c r="E13">
        <v>40</v>
      </c>
      <c r="F13" s="2">
        <v>20.4595521381667</v>
      </c>
      <c r="G13" s="2">
        <v>818.382085526669</v>
      </c>
      <c r="H13" t="s">
        <v>15</v>
      </c>
      <c r="K13" t="str" cm="1">
        <f t="array" ref="K13">_xlfn.IFS(E13&gt;=40,"Full Load",E13&lt;30,"Low Load",,"Moderate Load")</f>
        <v>Full Load</v>
      </c>
    </row>
    <row r="14" spans="1:11">
      <c r="A14" t="s">
        <v>66</v>
      </c>
      <c r="B14" t="s">
        <v>36</v>
      </c>
      <c r="C14" t="s">
        <v>14</v>
      </c>
      <c r="D14" s="1">
        <v>39601</v>
      </c>
      <c r="E14">
        <v>40</v>
      </c>
      <c r="F14" s="2">
        <v>20.3846080101342</v>
      </c>
      <c r="G14" s="2">
        <v>815.384320405368</v>
      </c>
      <c r="H14" t="s">
        <v>15</v>
      </c>
      <c r="K14" t="str" cm="1">
        <f t="array" ref="K14">_xlfn.IFS(E14&gt;=40,"Full Load",E14&lt;30,"Low Load",,"Moderate Load")</f>
        <v>Full Load</v>
      </c>
    </row>
    <row r="15" spans="1:11">
      <c r="A15" t="s">
        <v>70</v>
      </c>
      <c r="B15" t="s">
        <v>36</v>
      </c>
      <c r="C15" t="s">
        <v>59</v>
      </c>
      <c r="D15" s="1">
        <v>39051</v>
      </c>
      <c r="E15">
        <v>15.5</v>
      </c>
      <c r="F15" s="2">
        <v>23.8590814253866</v>
      </c>
      <c r="G15" s="2">
        <v>369.815762093492</v>
      </c>
      <c r="H15" t="s">
        <v>22</v>
      </c>
      <c r="K15" t="str" cm="1">
        <f t="array" ref="K15">_xlfn.IFS(E15&gt;=40,"Full Load",E15&lt;30,"Low Load",,"Moderate Load")</f>
        <v>Low Load</v>
      </c>
    </row>
    <row r="16" spans="1:11">
      <c r="A16" t="s">
        <v>73</v>
      </c>
      <c r="B16" t="s">
        <v>13</v>
      </c>
      <c r="C16" t="s">
        <v>59</v>
      </c>
      <c r="D16" s="1">
        <v>39223</v>
      </c>
      <c r="E16">
        <v>38</v>
      </c>
      <c r="F16" s="2">
        <v>26.2234936764226</v>
      </c>
      <c r="G16" s="2">
        <v>996.49275970406</v>
      </c>
      <c r="H16" t="s">
        <v>22</v>
      </c>
      <c r="K16" t="e" cm="1">
        <f t="array" ref="K16">_xlfn.IFS(E16&gt;=40,"Full Load",E16&lt;30,"Low Load",,"Moderate Load")</f>
        <v>#N/A</v>
      </c>
    </row>
    <row r="17" spans="1:11">
      <c r="A17" t="s">
        <v>77</v>
      </c>
      <c r="B17" t="s">
        <v>20</v>
      </c>
      <c r="C17" t="s">
        <v>59</v>
      </c>
      <c r="D17" s="1">
        <v>39259</v>
      </c>
      <c r="E17">
        <v>40</v>
      </c>
      <c r="F17" s="2">
        <v>24.122312108731</v>
      </c>
      <c r="G17" s="2">
        <v>964.89248434924</v>
      </c>
      <c r="H17" t="s">
        <v>15</v>
      </c>
      <c r="K17" t="str" cm="1">
        <f t="array" ref="K17">_xlfn.IFS(E17&gt;=40,"Full Load",E17&lt;30,"Low Load",,"Moderate Load")</f>
        <v>Full Load</v>
      </c>
    </row>
    <row r="18" spans="1:11">
      <c r="A18" t="s">
        <v>81</v>
      </c>
      <c r="B18" t="s">
        <v>27</v>
      </c>
      <c r="C18" t="s">
        <v>14</v>
      </c>
      <c r="D18" s="1">
        <v>40108</v>
      </c>
      <c r="E18">
        <v>40</v>
      </c>
      <c r="F18" s="2">
        <v>27.4278911367849</v>
      </c>
      <c r="G18" s="2">
        <v>1097.11564547139</v>
      </c>
      <c r="H18" t="s">
        <v>15</v>
      </c>
      <c r="K18" t="str" cm="1">
        <f t="array" ref="K18">_xlfn.IFS(E18&gt;=40,"Full Load",E18&lt;30,"Low Load",,"Moderate Load")</f>
        <v>Full Load</v>
      </c>
    </row>
    <row r="19" spans="1:11">
      <c r="A19" t="s">
        <v>85</v>
      </c>
      <c r="B19" t="s">
        <v>13</v>
      </c>
      <c r="C19" t="s">
        <v>14</v>
      </c>
      <c r="D19" s="1">
        <v>39865</v>
      </c>
      <c r="E19">
        <v>35</v>
      </c>
      <c r="F19" s="2">
        <v>24.9864365543203</v>
      </c>
      <c r="G19" s="2">
        <v>874.525279401211</v>
      </c>
      <c r="H19" t="s">
        <v>22</v>
      </c>
      <c r="K19" t="e" cm="1">
        <f t="array" ref="K19">_xlfn.IFS(E19&gt;=40,"Full Load",E19&lt;30,"Low Load",,"Moderate Load")</f>
        <v>#N/A</v>
      </c>
    </row>
    <row r="20" spans="1:11">
      <c r="A20" t="s">
        <v>89</v>
      </c>
      <c r="B20" t="s">
        <v>36</v>
      </c>
      <c r="C20" t="s">
        <v>51</v>
      </c>
      <c r="D20" s="1">
        <v>38551</v>
      </c>
      <c r="E20">
        <v>40</v>
      </c>
      <c r="F20" s="2">
        <v>28.1837716768448</v>
      </c>
      <c r="G20" s="2">
        <v>1127.35086707379</v>
      </c>
      <c r="H20" t="s">
        <v>15</v>
      </c>
      <c r="K20" t="str" cm="1">
        <f t="array" ref="K20">_xlfn.IFS(E20&gt;=40,"Full Load",E20&lt;30,"Low Load",,"Moderate Load")</f>
        <v>Full Load</v>
      </c>
    </row>
    <row r="21" spans="1:11">
      <c r="A21" t="s">
        <v>93</v>
      </c>
      <c r="B21" t="s">
        <v>20</v>
      </c>
      <c r="C21" t="s">
        <v>21</v>
      </c>
      <c r="D21" s="1">
        <v>38202</v>
      </c>
      <c r="E21">
        <v>35.5</v>
      </c>
      <c r="F21" s="2">
        <v>23.5513467037949</v>
      </c>
      <c r="G21" s="2">
        <v>836.072807984721</v>
      </c>
      <c r="H21" t="s">
        <v>22</v>
      </c>
      <c r="K21" t="e" cm="1">
        <f t="array" ref="K21">_xlfn.IFS(E21&gt;=40,"Full Load",E21&lt;30,"Low Load",,"Moderate Load")</f>
        <v>#N/A</v>
      </c>
    </row>
    <row r="22" spans="1:11">
      <c r="A22" t="s">
        <v>97</v>
      </c>
      <c r="B22" t="s">
        <v>20</v>
      </c>
      <c r="C22" t="s">
        <v>21</v>
      </c>
      <c r="D22" s="1">
        <v>39385</v>
      </c>
      <c r="E22">
        <v>38</v>
      </c>
      <c r="F22" s="2">
        <v>21.527759251738</v>
      </c>
      <c r="G22" s="2">
        <v>818.054851566046</v>
      </c>
      <c r="H22" t="s">
        <v>22</v>
      </c>
      <c r="K22" t="e" cm="1">
        <f t="array" ref="K22">_xlfn.IFS(E22&gt;=40,"Full Load",E22&lt;30,"Low Load",,"Moderate Load")</f>
        <v>#N/A</v>
      </c>
    </row>
    <row r="23" spans="1:11">
      <c r="A23" t="s">
        <v>101</v>
      </c>
      <c r="B23" t="s">
        <v>20</v>
      </c>
      <c r="C23" t="s">
        <v>21</v>
      </c>
      <c r="D23" s="1">
        <v>37877</v>
      </c>
      <c r="E23">
        <v>40</v>
      </c>
      <c r="F23" s="2">
        <v>29.435165359699</v>
      </c>
      <c r="G23" s="2">
        <v>1177.40661438796</v>
      </c>
      <c r="H23" t="s">
        <v>15</v>
      </c>
      <c r="K23" t="str" cm="1">
        <f t="array" ref="K23">_xlfn.IFS(E23&gt;=40,"Full Load",E23&lt;30,"Low Load",,"Moderate Load")</f>
        <v>Full Load</v>
      </c>
    </row>
    <row r="24" spans="1:11">
      <c r="A24" t="s">
        <v>105</v>
      </c>
      <c r="B24" t="s">
        <v>20</v>
      </c>
      <c r="C24" t="s">
        <v>21</v>
      </c>
      <c r="D24" s="1">
        <v>37779</v>
      </c>
      <c r="E24">
        <v>40</v>
      </c>
      <c r="F24" s="2">
        <v>28.5585427782549</v>
      </c>
      <c r="G24" s="2">
        <v>1142.3417111302</v>
      </c>
      <c r="H24" t="s">
        <v>15</v>
      </c>
      <c r="K24" t="str" cm="1">
        <f t="array" ref="K24">_xlfn.IFS(E24&gt;=40,"Full Load",E24&lt;30,"Low Load",,"Moderate Load")</f>
        <v>Full Load</v>
      </c>
    </row>
    <row r="25" spans="1:11">
      <c r="A25" t="s">
        <v>109</v>
      </c>
      <c r="B25" t="s">
        <v>13</v>
      </c>
      <c r="C25" t="s">
        <v>21</v>
      </c>
      <c r="D25" s="1">
        <v>40611</v>
      </c>
      <c r="E25">
        <v>35</v>
      </c>
      <c r="F25" s="2">
        <v>21.3408234410477</v>
      </c>
      <c r="G25" s="2">
        <v>746.928820436669</v>
      </c>
      <c r="H25" t="s">
        <v>22</v>
      </c>
      <c r="K25" t="e" cm="1">
        <f t="array" ref="K25">_xlfn.IFS(E25&gt;=40,"Full Load",E25&lt;30,"Low Load",,"Moderate Load")</f>
        <v>#N/A</v>
      </c>
    </row>
    <row r="26" spans="1:11">
      <c r="A26" t="s">
        <v>113</v>
      </c>
      <c r="B26" t="s">
        <v>13</v>
      </c>
      <c r="C26" t="s">
        <v>21</v>
      </c>
      <c r="D26" s="1">
        <v>38808</v>
      </c>
      <c r="E26">
        <v>25</v>
      </c>
      <c r="F26" s="2">
        <v>26.7983252095194</v>
      </c>
      <c r="G26" s="2">
        <v>669.958130237985</v>
      </c>
      <c r="H26" t="s">
        <v>22</v>
      </c>
      <c r="K26" t="str" cm="1">
        <f t="array" ref="K26">_xlfn.IFS(E26&gt;=40,"Full Load",E26&lt;30,"Low Load",,"Moderate Load")</f>
        <v>Low Load</v>
      </c>
    </row>
    <row r="27" spans="1:11">
      <c r="A27" t="s">
        <v>117</v>
      </c>
      <c r="B27" t="s">
        <v>20</v>
      </c>
      <c r="C27" t="s">
        <v>21</v>
      </c>
      <c r="D27" s="1">
        <v>39807</v>
      </c>
      <c r="E27">
        <v>32</v>
      </c>
      <c r="F27" s="2">
        <v>29.9348706756959</v>
      </c>
      <c r="G27" s="2">
        <v>957.915861622268</v>
      </c>
      <c r="H27" t="s">
        <v>22</v>
      </c>
      <c r="K27" t="e" cm="1">
        <f t="array" ref="K27">_xlfn.IFS(E27&gt;=40,"Full Load",E27&lt;30,"Low Load",,"Moderate Load")</f>
        <v>#N/A</v>
      </c>
    </row>
    <row r="28" spans="1:11">
      <c r="A28" t="s">
        <v>121</v>
      </c>
      <c r="B28" t="s">
        <v>20</v>
      </c>
      <c r="C28" t="s">
        <v>51</v>
      </c>
      <c r="D28" s="1">
        <v>39233</v>
      </c>
      <c r="E28">
        <v>35</v>
      </c>
      <c r="F28" s="2">
        <v>22.5344105761657</v>
      </c>
      <c r="G28" s="2">
        <v>788.704370165799</v>
      </c>
      <c r="H28" t="s">
        <v>22</v>
      </c>
      <c r="K28" t="e" cm="1">
        <f t="array" ref="K28">_xlfn.IFS(E28&gt;=40,"Full Load",E28&lt;30,"Low Load",,"Moderate Load")</f>
        <v>#N/A</v>
      </c>
    </row>
    <row r="29" spans="1:11">
      <c r="A29" t="s">
        <v>125</v>
      </c>
      <c r="B29" t="s">
        <v>20</v>
      </c>
      <c r="C29" t="s">
        <v>59</v>
      </c>
      <c r="D29" s="1">
        <v>40155</v>
      </c>
      <c r="E29">
        <v>25</v>
      </c>
      <c r="F29" s="2">
        <v>22.0288511044065</v>
      </c>
      <c r="G29" s="2">
        <v>550.721277610162</v>
      </c>
      <c r="H29" t="s">
        <v>22</v>
      </c>
      <c r="K29" t="str" cm="1">
        <f t="array" ref="K29">_xlfn.IFS(E29&gt;=40,"Full Load",E29&lt;30,"Low Load",,"Moderate Load")</f>
        <v>Low Load</v>
      </c>
    </row>
    <row r="30" spans="1:11">
      <c r="A30" t="s">
        <v>129</v>
      </c>
      <c r="B30" t="s">
        <v>20</v>
      </c>
      <c r="C30" t="s">
        <v>51</v>
      </c>
      <c r="D30" s="1">
        <v>38263</v>
      </c>
      <c r="E30">
        <v>40</v>
      </c>
      <c r="F30" s="2">
        <v>22.224435083452</v>
      </c>
      <c r="G30" s="2">
        <v>888.977403338081</v>
      </c>
      <c r="H30" t="s">
        <v>15</v>
      </c>
      <c r="K30" t="str" cm="1">
        <f t="array" ref="K30">_xlfn.IFS(E30&gt;=40,"Full Load",E30&lt;30,"Low Load",,"Moderate Load")</f>
        <v>Full Load</v>
      </c>
    </row>
    <row r="31" spans="1:11">
      <c r="A31" t="s">
        <v>133</v>
      </c>
      <c r="B31" t="s">
        <v>27</v>
      </c>
      <c r="C31" t="s">
        <v>14</v>
      </c>
      <c r="D31" s="1">
        <v>39414</v>
      </c>
      <c r="E31">
        <v>35.5</v>
      </c>
      <c r="F31" s="2">
        <v>24.0440594640406</v>
      </c>
      <c r="G31" s="2">
        <v>853.56411097344</v>
      </c>
      <c r="H31" t="s">
        <v>22</v>
      </c>
      <c r="K31" t="e" cm="1">
        <f t="array" ref="K31">_xlfn.IFS(E31&gt;=40,"Full Load",E31&lt;30,"Low Load",,"Moderate Load")</f>
        <v>#N/A</v>
      </c>
    </row>
    <row r="32" spans="1:11">
      <c r="A32" t="s">
        <v>137</v>
      </c>
      <c r="B32" t="s">
        <v>27</v>
      </c>
      <c r="C32" t="s">
        <v>21</v>
      </c>
      <c r="D32" s="1">
        <v>39831</v>
      </c>
      <c r="E32">
        <v>29.5</v>
      </c>
      <c r="F32" s="2">
        <v>27.9270088695213</v>
      </c>
      <c r="G32" s="2">
        <v>823.846761650878</v>
      </c>
      <c r="H32" t="s">
        <v>22</v>
      </c>
      <c r="K32" t="str" cm="1">
        <f t="array" ref="K32">_xlfn.IFS(E32&gt;=40,"Full Load",E32&lt;30,"Low Load",,"Moderate Load")</f>
        <v>Low Load</v>
      </c>
    </row>
    <row r="33" spans="1:11">
      <c r="A33" t="s">
        <v>141</v>
      </c>
      <c r="B33" t="s">
        <v>13</v>
      </c>
      <c r="C33" t="s">
        <v>59</v>
      </c>
      <c r="D33" s="1">
        <v>38474</v>
      </c>
      <c r="E33">
        <v>40</v>
      </c>
      <c r="F33" s="2">
        <v>25.3218774491568</v>
      </c>
      <c r="G33" s="2">
        <v>1012.87509796627</v>
      </c>
      <c r="H33" t="s">
        <v>15</v>
      </c>
      <c r="K33" t="str" cm="1">
        <f t="array" ref="K33">_xlfn.IFS(E33&gt;=40,"Full Load",E33&lt;30,"Low Load",,"Moderate Load")</f>
        <v>Full Load</v>
      </c>
    </row>
    <row r="34" spans="1:11">
      <c r="A34" t="s">
        <v>145</v>
      </c>
      <c r="B34" t="s">
        <v>13</v>
      </c>
      <c r="C34" t="s">
        <v>59</v>
      </c>
      <c r="D34" s="1">
        <v>40205</v>
      </c>
      <c r="E34">
        <v>35.5</v>
      </c>
      <c r="F34" s="2">
        <v>22.0416278412084</v>
      </c>
      <c r="G34" s="2">
        <v>782.477788362898</v>
      </c>
      <c r="H34" t="s">
        <v>22</v>
      </c>
      <c r="K34" t="e" cm="1">
        <f t="array" ref="K34">_xlfn.IFS(E34&gt;=40,"Full Load",E34&lt;30,"Low Load",,"Moderate Load")</f>
        <v>#N/A</v>
      </c>
    </row>
    <row r="35" spans="1:11">
      <c r="A35" t="s">
        <v>149</v>
      </c>
      <c r="B35" t="s">
        <v>20</v>
      </c>
      <c r="C35" t="s">
        <v>59</v>
      </c>
      <c r="D35" s="1">
        <v>39053</v>
      </c>
      <c r="E35">
        <v>32</v>
      </c>
      <c r="F35" s="2">
        <v>20.9360592580624</v>
      </c>
      <c r="G35" s="2">
        <v>669.953896257996</v>
      </c>
      <c r="H35" t="s">
        <v>22</v>
      </c>
      <c r="K35" t="e" cm="1">
        <f t="array" ref="K35">_xlfn.IFS(E35&gt;=40,"Full Load",E35&lt;30,"Low Load",,"Moderate Load")</f>
        <v>#N/A</v>
      </c>
    </row>
    <row r="36" spans="1:11">
      <c r="A36" t="s">
        <v>153</v>
      </c>
      <c r="B36" t="s">
        <v>27</v>
      </c>
      <c r="C36" t="s">
        <v>14</v>
      </c>
      <c r="D36" s="1">
        <v>38914</v>
      </c>
      <c r="E36">
        <v>35.5</v>
      </c>
      <c r="F36" s="2">
        <v>23.7804724680972</v>
      </c>
      <c r="G36" s="2">
        <v>844.206772617451</v>
      </c>
      <c r="H36" t="s">
        <v>22</v>
      </c>
      <c r="K36" t="e" cm="1">
        <f t="array" ref="K36">_xlfn.IFS(E36&gt;=40,"Full Load",E36&lt;30,"Low Load",,"Moderate Load")</f>
        <v>#N/A</v>
      </c>
    </row>
    <row r="37" spans="1:11">
      <c r="A37" t="s">
        <v>157</v>
      </c>
      <c r="B37" t="s">
        <v>20</v>
      </c>
      <c r="C37" t="s">
        <v>59</v>
      </c>
      <c r="D37" s="1">
        <v>38727</v>
      </c>
      <c r="E37">
        <v>35</v>
      </c>
      <c r="F37" s="2">
        <v>26.870973454107</v>
      </c>
      <c r="G37" s="2">
        <v>940.484070893745</v>
      </c>
      <c r="H37" t="s">
        <v>22</v>
      </c>
      <c r="K37" t="e" cm="1">
        <f t="array" ref="K37">_xlfn.IFS(E37&gt;=40,"Full Load",E37&lt;30,"Low Load",,"Moderate Load")</f>
        <v>#N/A</v>
      </c>
    </row>
    <row r="38" spans="1:11">
      <c r="A38" t="s">
        <v>161</v>
      </c>
      <c r="B38" t="s">
        <v>27</v>
      </c>
      <c r="C38" t="s">
        <v>14</v>
      </c>
      <c r="D38" s="1">
        <v>38659</v>
      </c>
      <c r="E38">
        <v>40</v>
      </c>
      <c r="F38" s="2">
        <v>28.0351807192208</v>
      </c>
      <c r="G38" s="2">
        <v>1121.40722876883</v>
      </c>
      <c r="H38" t="s">
        <v>15</v>
      </c>
      <c r="K38" t="str" cm="1">
        <f t="array" ref="K38">_xlfn.IFS(E38&gt;=40,"Full Load",E38&lt;30,"Low Load",,"Moderate Load")</f>
        <v>Full Load</v>
      </c>
    </row>
    <row r="39" spans="1:11">
      <c r="A39" t="s">
        <v>165</v>
      </c>
      <c r="B39" t="s">
        <v>20</v>
      </c>
      <c r="C39" t="s">
        <v>51</v>
      </c>
      <c r="D39" s="1">
        <v>39430</v>
      </c>
      <c r="E39">
        <v>40</v>
      </c>
      <c r="F39" s="2">
        <v>22.0025822256507</v>
      </c>
      <c r="G39" s="2">
        <v>880.10328902603</v>
      </c>
      <c r="H39" t="s">
        <v>15</v>
      </c>
      <c r="K39" t="str" cm="1">
        <f t="array" ref="K39">_xlfn.IFS(E39&gt;=40,"Full Load",E39&lt;30,"Low Load",,"Moderate Load")</f>
        <v>Full Load</v>
      </c>
    </row>
    <row r="40" spans="1:11">
      <c r="A40" t="s">
        <v>169</v>
      </c>
      <c r="B40" t="s">
        <v>20</v>
      </c>
      <c r="C40" t="s">
        <v>14</v>
      </c>
      <c r="D40" s="1">
        <v>38026</v>
      </c>
      <c r="E40">
        <v>40</v>
      </c>
      <c r="F40" s="2">
        <v>24.209926541516</v>
      </c>
      <c r="G40" s="2">
        <v>968.397061660642</v>
      </c>
      <c r="H40" t="s">
        <v>15</v>
      </c>
      <c r="K40" t="str" cm="1">
        <f t="array" ref="K40">_xlfn.IFS(E40&gt;=40,"Full Load",E40&lt;30,"Low Load",,"Moderate Load")</f>
        <v>Full Load</v>
      </c>
    </row>
    <row r="41" spans="1:11">
      <c r="A41" t="s">
        <v>173</v>
      </c>
      <c r="B41" t="s">
        <v>20</v>
      </c>
      <c r="C41" t="s">
        <v>51</v>
      </c>
      <c r="D41" s="1">
        <v>39575</v>
      </c>
      <c r="E41">
        <v>40</v>
      </c>
      <c r="F41" s="2">
        <v>26.4166446930878</v>
      </c>
      <c r="G41" s="2">
        <v>1056.66578772351</v>
      </c>
      <c r="H41" t="s">
        <v>15</v>
      </c>
      <c r="K41" t="str" cm="1">
        <f t="array" ref="K41">_xlfn.IFS(E41&gt;=40,"Full Load",E41&lt;30,"Low Load",,"Moderate Load")</f>
        <v>Full Load</v>
      </c>
    </row>
    <row r="42" spans="1:11">
      <c r="A42" t="s">
        <v>177</v>
      </c>
      <c r="B42" t="s">
        <v>27</v>
      </c>
      <c r="C42" t="s">
        <v>59</v>
      </c>
      <c r="D42" s="1">
        <v>38989</v>
      </c>
      <c r="E42">
        <v>40</v>
      </c>
      <c r="F42" s="2">
        <v>26.1563408101695</v>
      </c>
      <c r="G42" s="2">
        <v>1046.25363240678</v>
      </c>
      <c r="H42" t="s">
        <v>15</v>
      </c>
      <c r="K42" t="str" cm="1">
        <f t="array" ref="K42">_xlfn.IFS(E42&gt;=40,"Full Load",E42&lt;30,"Low Load",,"Moderate Load")</f>
        <v>Full Load</v>
      </c>
    </row>
    <row r="43" spans="1:11">
      <c r="A43" t="s">
        <v>181</v>
      </c>
      <c r="B43" t="s">
        <v>27</v>
      </c>
      <c r="C43" t="s">
        <v>59</v>
      </c>
      <c r="D43" s="1">
        <v>40127</v>
      </c>
      <c r="E43">
        <v>40</v>
      </c>
      <c r="F43" s="2">
        <v>28.8001607672559</v>
      </c>
      <c r="G43" s="2">
        <v>1152.00643069023</v>
      </c>
      <c r="H43" t="s">
        <v>15</v>
      </c>
      <c r="K43" t="str" cm="1">
        <f t="array" ref="K43">_xlfn.IFS(E43&gt;=40,"Full Load",E43&lt;30,"Low Load",,"Moderate Load")</f>
        <v>Full Load</v>
      </c>
    </row>
    <row r="44" spans="1:11">
      <c r="A44" t="s">
        <v>185</v>
      </c>
      <c r="B44" t="s">
        <v>27</v>
      </c>
      <c r="C44" t="s">
        <v>14</v>
      </c>
      <c r="D44" s="1">
        <v>39070</v>
      </c>
      <c r="E44">
        <v>35.5</v>
      </c>
      <c r="F44" s="2">
        <v>24.7005037048751</v>
      </c>
      <c r="G44" s="2">
        <v>876.867881523066</v>
      </c>
      <c r="H44" t="s">
        <v>22</v>
      </c>
      <c r="K44" t="e" cm="1">
        <f t="array" ref="K44">_xlfn.IFS(E44&gt;=40,"Full Load",E44&lt;30,"Low Load",,"Moderate Load")</f>
        <v>#N/A</v>
      </c>
    </row>
    <row r="45" spans="1:11">
      <c r="A45" t="s">
        <v>188</v>
      </c>
      <c r="B45" t="s">
        <v>36</v>
      </c>
      <c r="C45" t="s">
        <v>21</v>
      </c>
      <c r="D45" s="1">
        <v>39251</v>
      </c>
      <c r="E45">
        <v>40</v>
      </c>
      <c r="F45" s="2">
        <v>24.7208809045488</v>
      </c>
      <c r="G45" s="2">
        <v>988.835236181952</v>
      </c>
      <c r="H45" t="s">
        <v>15</v>
      </c>
      <c r="K45" t="str" cm="1">
        <f t="array" ref="K45">_xlfn.IFS(E45&gt;=40,"Full Load",E45&lt;30,"Low Load",,"Moderate Load")</f>
        <v>Full Load</v>
      </c>
    </row>
    <row r="46" spans="1:11">
      <c r="A46" t="s">
        <v>191</v>
      </c>
      <c r="B46" t="s">
        <v>36</v>
      </c>
      <c r="C46" t="s">
        <v>14</v>
      </c>
      <c r="D46" s="1">
        <v>39925</v>
      </c>
      <c r="E46">
        <v>15.5</v>
      </c>
      <c r="F46" s="2">
        <v>22.0461359567629</v>
      </c>
      <c r="G46" s="2">
        <v>341.715107329824</v>
      </c>
      <c r="H46" t="s">
        <v>22</v>
      </c>
      <c r="K46" t="str" cm="1">
        <f t="array" ref="K46">_xlfn.IFS(E46&gt;=40,"Full Load",E46&lt;30,"Low Load",,"Moderate Load")</f>
        <v>Low Load</v>
      </c>
    </row>
    <row r="47" spans="1:11">
      <c r="A47" t="s">
        <v>194</v>
      </c>
      <c r="B47" t="s">
        <v>20</v>
      </c>
      <c r="C47" t="s">
        <v>59</v>
      </c>
      <c r="D47" s="1">
        <v>39226</v>
      </c>
      <c r="E47">
        <v>25</v>
      </c>
      <c r="F47" s="2">
        <v>29.0167556854929</v>
      </c>
      <c r="G47" s="2">
        <v>725.418892137322</v>
      </c>
      <c r="H47" t="s">
        <v>22</v>
      </c>
      <c r="K47" t="str" cm="1">
        <f t="array" ref="K47">_xlfn.IFS(E47&gt;=40,"Full Load",E47&lt;30,"Low Load",,"Moderate Load")</f>
        <v>Low Load</v>
      </c>
    </row>
    <row r="48" spans="1:11">
      <c r="A48" t="s">
        <v>197</v>
      </c>
      <c r="B48" t="s">
        <v>36</v>
      </c>
      <c r="C48" t="s">
        <v>14</v>
      </c>
      <c r="D48" s="1">
        <v>40561</v>
      </c>
      <c r="E48">
        <v>40</v>
      </c>
      <c r="F48" s="2">
        <v>27.3588677466791</v>
      </c>
      <c r="G48" s="2">
        <v>1094.35470986716</v>
      </c>
      <c r="H48" t="s">
        <v>15</v>
      </c>
      <c r="K48" t="str" cm="1">
        <f t="array" ref="K48">_xlfn.IFS(E48&gt;=40,"Full Load",E48&lt;30,"Low Load",,"Moderate Load")</f>
        <v>Full Load</v>
      </c>
    </row>
    <row r="49" spans="1:11">
      <c r="A49" t="s">
        <v>199</v>
      </c>
      <c r="B49" t="s">
        <v>36</v>
      </c>
      <c r="C49" t="s">
        <v>14</v>
      </c>
      <c r="D49" s="1">
        <v>38080</v>
      </c>
      <c r="E49">
        <v>40</v>
      </c>
      <c r="F49" s="2">
        <v>23.5591787626696</v>
      </c>
      <c r="G49" s="2">
        <v>942.367150506783</v>
      </c>
      <c r="H49" t="s">
        <v>15</v>
      </c>
      <c r="K49" t="str" cm="1">
        <f t="array" ref="K49">_xlfn.IFS(E49&gt;=40,"Full Load",E49&lt;30,"Low Load",,"Moderate Load")</f>
        <v>Full Load</v>
      </c>
    </row>
    <row r="50" spans="1:11">
      <c r="A50" t="s">
        <v>201</v>
      </c>
      <c r="B50" t="s">
        <v>13</v>
      </c>
      <c r="C50" t="s">
        <v>59</v>
      </c>
      <c r="D50" s="1">
        <v>37784</v>
      </c>
      <c r="E50">
        <v>38</v>
      </c>
      <c r="F50" s="2">
        <v>25.8959240312466</v>
      </c>
      <c r="G50" s="2">
        <v>984.04511318737</v>
      </c>
      <c r="H50" t="s">
        <v>22</v>
      </c>
      <c r="K50" t="e" cm="1">
        <f t="array" ref="K50">_xlfn.IFS(E50&gt;=40,"Full Load",E50&lt;30,"Low Load",,"Moderate Load")</f>
        <v>#N/A</v>
      </c>
    </row>
    <row r="51" spans="1:11">
      <c r="A51" t="s">
        <v>203</v>
      </c>
      <c r="B51" t="s">
        <v>20</v>
      </c>
      <c r="C51" t="s">
        <v>51</v>
      </c>
      <c r="D51" s="1">
        <v>40135</v>
      </c>
      <c r="E51">
        <v>40</v>
      </c>
      <c r="F51" s="2">
        <v>23.7440482448647</v>
      </c>
      <c r="G51" s="2">
        <v>949.761929794589</v>
      </c>
      <c r="H51" t="s">
        <v>15</v>
      </c>
      <c r="K51" t="str" cm="1">
        <f t="array" ref="K51">_xlfn.IFS(E51&gt;=40,"Full Load",E51&lt;30,"Low Load",,"Moderate Load")</f>
        <v>Full Load</v>
      </c>
    </row>
    <row r="52" spans="1:11">
      <c r="A52" t="s">
        <v>205</v>
      </c>
      <c r="B52" t="s">
        <v>20</v>
      </c>
      <c r="C52" t="s">
        <v>59</v>
      </c>
      <c r="D52" s="1">
        <v>38851</v>
      </c>
      <c r="E52">
        <v>40</v>
      </c>
      <c r="F52" s="2">
        <v>22.1172203389426</v>
      </c>
      <c r="G52" s="2">
        <v>884.688813557704</v>
      </c>
      <c r="H52" t="s">
        <v>15</v>
      </c>
      <c r="K52" t="str" cm="1">
        <f t="array" ref="K52">_xlfn.IFS(E52&gt;=40,"Full Load",E52&lt;30,"Low Load",,"Moderate Load")</f>
        <v>Full Load</v>
      </c>
    </row>
    <row r="53" spans="1:11">
      <c r="A53" t="s">
        <v>207</v>
      </c>
      <c r="B53" t="s">
        <v>20</v>
      </c>
      <c r="C53" t="s">
        <v>21</v>
      </c>
      <c r="D53" s="1">
        <v>38995</v>
      </c>
      <c r="E53">
        <v>40</v>
      </c>
      <c r="F53" s="2">
        <v>28.5041873925272</v>
      </c>
      <c r="G53" s="2">
        <v>1140.16749570109</v>
      </c>
      <c r="H53" t="s">
        <v>15</v>
      </c>
      <c r="K53" t="str" cm="1">
        <f t="array" ref="K53">_xlfn.IFS(E53&gt;=40,"Full Load",E53&lt;30,"Low Load",,"Moderate Load")</f>
        <v>Full Load</v>
      </c>
    </row>
    <row r="54" spans="1:8">
      <c r="A54" t="s">
        <v>209</v>
      </c>
      <c r="B54" t="s">
        <v>27</v>
      </c>
      <c r="C54" t="s">
        <v>59</v>
      </c>
      <c r="D54" s="1">
        <v>37439</v>
      </c>
      <c r="E54">
        <v>40</v>
      </c>
      <c r="F54" s="2">
        <v>23.8861934229302</v>
      </c>
      <c r="G54" s="2">
        <v>955.447736917208</v>
      </c>
      <c r="H54" t="s">
        <v>15</v>
      </c>
    </row>
    <row r="55" spans="1:8">
      <c r="A55" t="s">
        <v>211</v>
      </c>
      <c r="B55" t="s">
        <v>13</v>
      </c>
      <c r="C55" t="s">
        <v>51</v>
      </c>
      <c r="D55" s="1">
        <v>40601</v>
      </c>
      <c r="E55">
        <v>40</v>
      </c>
      <c r="F55" s="2">
        <v>24.4318025315317</v>
      </c>
      <c r="G55" s="2">
        <v>977.272101261268</v>
      </c>
      <c r="H55" t="s">
        <v>15</v>
      </c>
    </row>
    <row r="56" spans="1:8">
      <c r="A56" t="s">
        <v>213</v>
      </c>
      <c r="B56" t="s">
        <v>27</v>
      </c>
      <c r="C56" t="s">
        <v>21</v>
      </c>
      <c r="D56" s="1">
        <v>36264</v>
      </c>
      <c r="E56">
        <v>40</v>
      </c>
      <c r="F56" s="2">
        <v>24.3651867901812</v>
      </c>
      <c r="G56" s="2">
        <v>974.607471607247</v>
      </c>
      <c r="H56" t="s">
        <v>15</v>
      </c>
    </row>
    <row r="57" spans="1:8">
      <c r="A57" t="s">
        <v>215</v>
      </c>
      <c r="B57" t="s">
        <v>20</v>
      </c>
      <c r="C57" t="s">
        <v>14</v>
      </c>
      <c r="D57" s="1">
        <v>39238</v>
      </c>
      <c r="E57">
        <v>40</v>
      </c>
      <c r="F57" s="2">
        <v>26.7929940105714</v>
      </c>
      <c r="G57" s="2">
        <v>1071.71976042286</v>
      </c>
      <c r="H57" t="s">
        <v>15</v>
      </c>
    </row>
    <row r="58" spans="1:8">
      <c r="A58" t="s">
        <v>217</v>
      </c>
      <c r="B58" t="s">
        <v>13</v>
      </c>
      <c r="C58" t="s">
        <v>59</v>
      </c>
      <c r="D58" s="1">
        <v>40754</v>
      </c>
      <c r="E58">
        <v>32</v>
      </c>
      <c r="F58" s="2">
        <v>26.9521621799409</v>
      </c>
      <c r="G58" s="2">
        <v>862.46918975811</v>
      </c>
      <c r="H58" t="s">
        <v>22</v>
      </c>
    </row>
    <row r="59" spans="1:8">
      <c r="A59" t="s">
        <v>219</v>
      </c>
      <c r="B59" t="s">
        <v>36</v>
      </c>
      <c r="C59" t="s">
        <v>14</v>
      </c>
      <c r="D59" s="1">
        <v>39138</v>
      </c>
      <c r="E59">
        <v>15.5</v>
      </c>
      <c r="F59" s="2">
        <v>26.3802017837466</v>
      </c>
      <c r="G59" s="2">
        <v>408.893127648072</v>
      </c>
      <c r="H59" t="s">
        <v>22</v>
      </c>
    </row>
    <row r="60" spans="1:8">
      <c r="A60" t="s">
        <v>221</v>
      </c>
      <c r="B60" t="s">
        <v>36</v>
      </c>
      <c r="C60" t="s">
        <v>14</v>
      </c>
      <c r="D60" s="1">
        <v>38217</v>
      </c>
      <c r="E60">
        <v>40</v>
      </c>
      <c r="F60" s="2">
        <v>29.4332293587101</v>
      </c>
      <c r="G60" s="2">
        <v>1177.32917434841</v>
      </c>
      <c r="H60" t="s">
        <v>15</v>
      </c>
    </row>
    <row r="61" spans="1:8">
      <c r="A61" t="s">
        <v>223</v>
      </c>
      <c r="B61" t="s">
        <v>27</v>
      </c>
      <c r="C61" t="s">
        <v>21</v>
      </c>
      <c r="D61" s="1">
        <v>39378</v>
      </c>
      <c r="E61">
        <v>40</v>
      </c>
      <c r="F61" s="2">
        <v>22.9135978775507</v>
      </c>
      <c r="G61" s="2">
        <v>916.54391510203</v>
      </c>
      <c r="H61" t="s">
        <v>15</v>
      </c>
    </row>
    <row r="62" spans="1:8">
      <c r="A62" t="s">
        <v>225</v>
      </c>
      <c r="B62" t="s">
        <v>27</v>
      </c>
      <c r="C62" t="s">
        <v>14</v>
      </c>
      <c r="D62" s="1">
        <v>41968</v>
      </c>
      <c r="E62">
        <v>40</v>
      </c>
      <c r="F62" s="2">
        <v>21.063510642513</v>
      </c>
      <c r="G62" s="2">
        <v>842.540425700521</v>
      </c>
      <c r="H62" t="s">
        <v>15</v>
      </c>
    </row>
    <row r="63" spans="1:8">
      <c r="A63" t="s">
        <v>227</v>
      </c>
      <c r="B63" t="s">
        <v>20</v>
      </c>
      <c r="C63" t="s">
        <v>14</v>
      </c>
      <c r="D63" s="1">
        <v>40397</v>
      </c>
      <c r="E63">
        <v>35</v>
      </c>
      <c r="F63" s="2">
        <v>26.1930616475145</v>
      </c>
      <c r="G63" s="2">
        <v>916.757157663007</v>
      </c>
      <c r="H63" t="s">
        <v>22</v>
      </c>
    </row>
    <row r="64" spans="1:8">
      <c r="A64" t="s">
        <v>229</v>
      </c>
      <c r="B64" t="s">
        <v>13</v>
      </c>
      <c r="C64" t="s">
        <v>14</v>
      </c>
      <c r="D64" s="1">
        <v>38068</v>
      </c>
      <c r="E64">
        <v>35.5</v>
      </c>
      <c r="F64" s="2">
        <v>26.441106244959</v>
      </c>
      <c r="G64" s="2">
        <v>938.659271696046</v>
      </c>
      <c r="H64" t="s">
        <v>22</v>
      </c>
    </row>
    <row r="65" spans="1:8">
      <c r="A65" t="s">
        <v>231</v>
      </c>
      <c r="B65" t="s">
        <v>13</v>
      </c>
      <c r="C65" t="s">
        <v>51</v>
      </c>
      <c r="D65" s="1">
        <v>38211</v>
      </c>
      <c r="E65">
        <v>32</v>
      </c>
      <c r="F65" s="2">
        <v>20.8628676904625</v>
      </c>
      <c r="G65" s="2">
        <v>667.6117660948</v>
      </c>
      <c r="H65" t="s">
        <v>22</v>
      </c>
    </row>
    <row r="66" spans="1:8">
      <c r="A66" t="s">
        <v>233</v>
      </c>
      <c r="B66" t="s">
        <v>20</v>
      </c>
      <c r="C66" t="s">
        <v>21</v>
      </c>
      <c r="D66" s="1">
        <v>38996</v>
      </c>
      <c r="E66">
        <v>35.5</v>
      </c>
      <c r="F66" s="2">
        <v>27.930629937317</v>
      </c>
      <c r="G66" s="2">
        <v>991.537362774752</v>
      </c>
      <c r="H66" t="s">
        <v>22</v>
      </c>
    </row>
    <row r="67" spans="1:8">
      <c r="A67" t="s">
        <v>235</v>
      </c>
      <c r="B67" t="s">
        <v>20</v>
      </c>
      <c r="C67" t="s">
        <v>59</v>
      </c>
      <c r="D67" s="1">
        <v>38794</v>
      </c>
      <c r="E67">
        <v>35</v>
      </c>
      <c r="F67" s="2">
        <v>28.2341643857546</v>
      </c>
      <c r="G67" s="2">
        <v>988.195753501409</v>
      </c>
      <c r="H67" t="s">
        <v>22</v>
      </c>
    </row>
    <row r="68" spans="1:8">
      <c r="A68" t="s">
        <v>237</v>
      </c>
      <c r="B68" t="s">
        <v>27</v>
      </c>
      <c r="C68" t="s">
        <v>59</v>
      </c>
      <c r="D68" s="1">
        <v>39418</v>
      </c>
      <c r="E68">
        <v>29.5</v>
      </c>
      <c r="F68" s="2">
        <v>27.2459372602021</v>
      </c>
      <c r="G68" s="2">
        <v>803.755149175961</v>
      </c>
      <c r="H68" t="s">
        <v>22</v>
      </c>
    </row>
    <row r="69" spans="1:8">
      <c r="A69" t="s">
        <v>239</v>
      </c>
      <c r="B69" t="s">
        <v>13</v>
      </c>
      <c r="C69" t="s">
        <v>21</v>
      </c>
      <c r="D69" s="1">
        <v>40268</v>
      </c>
      <c r="E69">
        <v>32</v>
      </c>
      <c r="F69" s="2">
        <v>24.7808249198699</v>
      </c>
      <c r="G69" s="2">
        <v>792.986397435835</v>
      </c>
      <c r="H69" t="s">
        <v>22</v>
      </c>
    </row>
    <row r="70" spans="1:8">
      <c r="A70" t="s">
        <v>241</v>
      </c>
      <c r="B70" t="s">
        <v>36</v>
      </c>
      <c r="C70" t="s">
        <v>21</v>
      </c>
      <c r="D70" s="1">
        <v>39770</v>
      </c>
      <c r="E70">
        <v>35</v>
      </c>
      <c r="F70" s="2">
        <v>20.9514694627171</v>
      </c>
      <c r="G70" s="2">
        <v>733.301431195098</v>
      </c>
      <c r="H70" t="s">
        <v>22</v>
      </c>
    </row>
    <row r="71" spans="1:8">
      <c r="A71" t="s">
        <v>243</v>
      </c>
      <c r="B71" t="s">
        <v>27</v>
      </c>
      <c r="C71" t="s">
        <v>51</v>
      </c>
      <c r="D71" s="1">
        <v>37263</v>
      </c>
      <c r="E71">
        <v>40</v>
      </c>
      <c r="F71" s="2">
        <v>24.2132465350738</v>
      </c>
      <c r="G71" s="2">
        <v>968.529861402952</v>
      </c>
      <c r="H71" t="s">
        <v>15</v>
      </c>
    </row>
    <row r="72" spans="1:8">
      <c r="A72" t="s">
        <v>245</v>
      </c>
      <c r="B72" t="s">
        <v>36</v>
      </c>
      <c r="C72" t="s">
        <v>51</v>
      </c>
      <c r="D72" s="1">
        <v>38990</v>
      </c>
      <c r="E72">
        <v>40</v>
      </c>
      <c r="F72" s="2">
        <v>26.6733350813367</v>
      </c>
      <c r="G72" s="2">
        <v>1066.93340325347</v>
      </c>
      <c r="H72" t="s">
        <v>15</v>
      </c>
    </row>
    <row r="73" spans="1:8">
      <c r="A73" t="s">
        <v>247</v>
      </c>
      <c r="B73" t="s">
        <v>36</v>
      </c>
      <c r="C73" t="s">
        <v>51</v>
      </c>
      <c r="D73" s="1">
        <v>38288</v>
      </c>
      <c r="E73">
        <v>40</v>
      </c>
      <c r="F73" s="2">
        <v>23.270898653239</v>
      </c>
      <c r="G73" s="2">
        <v>930.835946129561</v>
      </c>
      <c r="H73" t="s">
        <v>15</v>
      </c>
    </row>
    <row r="74" spans="1:8">
      <c r="A74" t="s">
        <v>249</v>
      </c>
      <c r="B74" t="s">
        <v>27</v>
      </c>
      <c r="C74" t="s">
        <v>51</v>
      </c>
      <c r="D74" s="1">
        <v>39752</v>
      </c>
      <c r="E74">
        <v>40</v>
      </c>
      <c r="F74" s="2">
        <v>29.6126531698801</v>
      </c>
      <c r="G74" s="2">
        <v>1184.5061267952</v>
      </c>
      <c r="H74" t="s">
        <v>15</v>
      </c>
    </row>
    <row r="75" spans="1:8">
      <c r="A75" t="s">
        <v>251</v>
      </c>
      <c r="B75" t="s">
        <v>20</v>
      </c>
      <c r="C75" t="s">
        <v>59</v>
      </c>
      <c r="D75" s="1">
        <v>38029</v>
      </c>
      <c r="E75">
        <v>25</v>
      </c>
      <c r="F75" s="2">
        <v>27.1249727517577</v>
      </c>
      <c r="G75" s="2">
        <v>678.124318793942</v>
      </c>
      <c r="H75" t="s">
        <v>22</v>
      </c>
    </row>
    <row r="76" spans="1:8">
      <c r="A76" t="s">
        <v>253</v>
      </c>
      <c r="B76" t="s">
        <v>13</v>
      </c>
      <c r="C76" t="s">
        <v>51</v>
      </c>
      <c r="D76" s="1">
        <v>38990</v>
      </c>
      <c r="E76">
        <v>40</v>
      </c>
      <c r="F76" s="2">
        <v>20.55570522982</v>
      </c>
      <c r="G76" s="2">
        <v>822.2282091928</v>
      </c>
      <c r="H76" t="s">
        <v>15</v>
      </c>
    </row>
    <row r="77" spans="1:8">
      <c r="A77" t="s">
        <v>255</v>
      </c>
      <c r="B77" t="s">
        <v>27</v>
      </c>
      <c r="C77" t="s">
        <v>51</v>
      </c>
      <c r="D77" s="1">
        <v>40139</v>
      </c>
      <c r="E77">
        <v>42</v>
      </c>
      <c r="F77" s="2">
        <v>23.7429467910733</v>
      </c>
      <c r="G77" s="2">
        <v>997.20376522508</v>
      </c>
      <c r="H77" t="s">
        <v>15</v>
      </c>
    </row>
    <row r="78" spans="1:8">
      <c r="A78" t="s">
        <v>257</v>
      </c>
      <c r="B78" t="s">
        <v>13</v>
      </c>
      <c r="C78" t="s">
        <v>14</v>
      </c>
      <c r="D78" s="1">
        <v>39601</v>
      </c>
      <c r="E78">
        <v>25</v>
      </c>
      <c r="F78" s="2">
        <v>20.6563505176776</v>
      </c>
      <c r="G78" s="2">
        <v>516.40876294194</v>
      </c>
      <c r="H78" t="s">
        <v>22</v>
      </c>
    </row>
    <row r="79" spans="1:8">
      <c r="A79" t="s">
        <v>259</v>
      </c>
      <c r="B79" t="s">
        <v>20</v>
      </c>
      <c r="C79" t="s">
        <v>21</v>
      </c>
      <c r="D79" s="1">
        <v>40035</v>
      </c>
      <c r="E79">
        <v>40</v>
      </c>
      <c r="F79" s="2">
        <v>24.7613808611318</v>
      </c>
      <c r="G79" s="2">
        <v>990.455234445274</v>
      </c>
      <c r="H79" t="s">
        <v>15</v>
      </c>
    </row>
    <row r="80" spans="1:8">
      <c r="A80" t="s">
        <v>261</v>
      </c>
      <c r="B80" t="s">
        <v>27</v>
      </c>
      <c r="C80" t="s">
        <v>59</v>
      </c>
      <c r="D80" s="1">
        <v>40296</v>
      </c>
      <c r="E80">
        <v>42</v>
      </c>
      <c r="F80" s="2">
        <v>21.2089102328483</v>
      </c>
      <c r="G80" s="2">
        <v>890.774229779629</v>
      </c>
      <c r="H80" t="s">
        <v>15</v>
      </c>
    </row>
    <row r="81" spans="1:8">
      <c r="A81" t="s">
        <v>263</v>
      </c>
      <c r="B81" t="s">
        <v>27</v>
      </c>
      <c r="C81" t="s">
        <v>14</v>
      </c>
      <c r="D81" s="1">
        <v>36953</v>
      </c>
      <c r="E81">
        <v>40</v>
      </c>
      <c r="F81" s="2">
        <v>29.6869323887969</v>
      </c>
      <c r="G81" s="2">
        <v>1187.47729555188</v>
      </c>
      <c r="H81" t="s">
        <v>15</v>
      </c>
    </row>
    <row r="82" spans="1:8">
      <c r="A82" t="s">
        <v>265</v>
      </c>
      <c r="B82" t="s">
        <v>36</v>
      </c>
      <c r="C82" t="s">
        <v>14</v>
      </c>
      <c r="D82" s="1">
        <v>36948</v>
      </c>
      <c r="E82">
        <v>15.5</v>
      </c>
      <c r="F82" s="2">
        <v>27.0324725336245</v>
      </c>
      <c r="G82" s="2">
        <v>419.003324271179</v>
      </c>
      <c r="H82" t="s">
        <v>22</v>
      </c>
    </row>
    <row r="83" spans="1:8">
      <c r="A83" t="s">
        <v>267</v>
      </c>
      <c r="B83" t="s">
        <v>27</v>
      </c>
      <c r="C83" t="s">
        <v>21</v>
      </c>
      <c r="D83" s="1">
        <v>40537</v>
      </c>
      <c r="E83">
        <v>40</v>
      </c>
      <c r="F83" s="2">
        <v>23.8393078808562</v>
      </c>
      <c r="G83" s="2">
        <v>953.572315234248</v>
      </c>
      <c r="H83" t="s">
        <v>15</v>
      </c>
    </row>
    <row r="84" spans="1:8">
      <c r="A84" t="s">
        <v>269</v>
      </c>
      <c r="B84" t="s">
        <v>27</v>
      </c>
      <c r="C84" t="s">
        <v>21</v>
      </c>
      <c r="D84" s="1">
        <v>40692</v>
      </c>
      <c r="E84">
        <v>29.5</v>
      </c>
      <c r="F84" s="2">
        <v>26.1711140052097</v>
      </c>
      <c r="G84" s="2">
        <v>772.047863153687</v>
      </c>
      <c r="H84" t="s">
        <v>22</v>
      </c>
    </row>
    <row r="85" spans="1:8">
      <c r="A85" t="s">
        <v>271</v>
      </c>
      <c r="B85" t="s">
        <v>27</v>
      </c>
      <c r="C85" t="s">
        <v>21</v>
      </c>
      <c r="D85" s="1">
        <v>38211</v>
      </c>
      <c r="E85">
        <v>29.5</v>
      </c>
      <c r="F85" s="2">
        <v>24.9382581014963</v>
      </c>
      <c r="G85" s="2">
        <v>735.67861399414</v>
      </c>
      <c r="H85" t="s">
        <v>22</v>
      </c>
    </row>
    <row r="86" spans="1:8">
      <c r="A86" t="s">
        <v>273</v>
      </c>
      <c r="B86" t="s">
        <v>36</v>
      </c>
      <c r="C86" t="s">
        <v>21</v>
      </c>
      <c r="D86" s="1">
        <v>39435</v>
      </c>
      <c r="E86">
        <v>40</v>
      </c>
      <c r="F86" s="2">
        <v>21.9331419032506</v>
      </c>
      <c r="G86" s="2">
        <v>877.325676130023</v>
      </c>
      <c r="H86" t="s">
        <v>15</v>
      </c>
    </row>
    <row r="87" spans="1:8">
      <c r="A87" t="s">
        <v>275</v>
      </c>
      <c r="B87" t="s">
        <v>36</v>
      </c>
      <c r="C87" t="s">
        <v>14</v>
      </c>
      <c r="D87" s="1">
        <v>40417</v>
      </c>
      <c r="E87">
        <v>15.5</v>
      </c>
      <c r="F87" s="2">
        <v>22.2269085765447</v>
      </c>
      <c r="G87" s="2">
        <v>344.517082936443</v>
      </c>
      <c r="H87" t="s">
        <v>22</v>
      </c>
    </row>
    <row r="88" spans="1:8">
      <c r="A88" t="s">
        <v>277</v>
      </c>
      <c r="B88" t="s">
        <v>36</v>
      </c>
      <c r="C88" t="s">
        <v>21</v>
      </c>
      <c r="D88" s="1">
        <v>38880</v>
      </c>
      <c r="E88">
        <v>40</v>
      </c>
      <c r="F88" s="2">
        <v>28.5121956001453</v>
      </c>
      <c r="G88" s="2">
        <v>1140.48782400581</v>
      </c>
      <c r="H88" t="s">
        <v>15</v>
      </c>
    </row>
    <row r="89" spans="1:8">
      <c r="A89" t="s">
        <v>279</v>
      </c>
      <c r="B89" t="s">
        <v>20</v>
      </c>
      <c r="C89" t="s">
        <v>59</v>
      </c>
      <c r="D89" s="1">
        <v>38084</v>
      </c>
      <c r="E89">
        <v>38</v>
      </c>
      <c r="F89" s="2">
        <v>26.1580386214767</v>
      </c>
      <c r="G89" s="2">
        <v>994.005467616114</v>
      </c>
      <c r="H89" t="s">
        <v>22</v>
      </c>
    </row>
    <row r="90" spans="1:8">
      <c r="A90" t="s">
        <v>281</v>
      </c>
      <c r="B90" t="s">
        <v>20</v>
      </c>
      <c r="C90" t="s">
        <v>14</v>
      </c>
      <c r="D90" s="1">
        <v>37112</v>
      </c>
      <c r="E90">
        <v>38</v>
      </c>
      <c r="F90" s="2">
        <v>29.9674239695174</v>
      </c>
      <c r="G90" s="2">
        <v>1138.76211084166</v>
      </c>
      <c r="H90" t="s">
        <v>22</v>
      </c>
    </row>
    <row r="91" spans="1:8">
      <c r="A91" t="s">
        <v>283</v>
      </c>
      <c r="B91" t="s">
        <v>27</v>
      </c>
      <c r="C91" t="s">
        <v>51</v>
      </c>
      <c r="D91" s="1">
        <v>37948</v>
      </c>
      <c r="E91">
        <v>40</v>
      </c>
      <c r="F91" s="2">
        <v>25.3452862696831</v>
      </c>
      <c r="G91" s="2">
        <v>1013.81145078732</v>
      </c>
      <c r="H91" t="s">
        <v>15</v>
      </c>
    </row>
    <row r="92" spans="1:8">
      <c r="A92" t="s">
        <v>285</v>
      </c>
      <c r="B92" t="s">
        <v>36</v>
      </c>
      <c r="C92" t="s">
        <v>14</v>
      </c>
      <c r="D92" s="1">
        <v>39059</v>
      </c>
      <c r="E92">
        <v>40</v>
      </c>
      <c r="F92" s="2">
        <v>25.6019372294119</v>
      </c>
      <c r="G92" s="2">
        <v>1024.07748917648</v>
      </c>
      <c r="H92" t="s">
        <v>15</v>
      </c>
    </row>
    <row r="93" spans="1:8">
      <c r="A93" t="s">
        <v>287</v>
      </c>
      <c r="B93" t="s">
        <v>20</v>
      </c>
      <c r="C93" t="s">
        <v>14</v>
      </c>
      <c r="D93" s="1">
        <v>38533</v>
      </c>
      <c r="E93">
        <v>35.5</v>
      </c>
      <c r="F93" s="2">
        <v>23.9214244689799</v>
      </c>
      <c r="G93" s="2">
        <v>849.210568648788</v>
      </c>
      <c r="H93" t="s">
        <v>22</v>
      </c>
    </row>
    <row r="94" spans="1:8">
      <c r="A94" t="s">
        <v>289</v>
      </c>
      <c r="B94" t="s">
        <v>36</v>
      </c>
      <c r="C94" t="s">
        <v>59</v>
      </c>
      <c r="D94" s="1">
        <v>38744</v>
      </c>
      <c r="E94">
        <v>35</v>
      </c>
      <c r="F94" s="2">
        <v>20.3208991153415</v>
      </c>
      <c r="G94" s="2">
        <v>711.231469036951</v>
      </c>
      <c r="H94" t="s">
        <v>22</v>
      </c>
    </row>
    <row r="95" spans="1:8">
      <c r="A95" t="s">
        <v>291</v>
      </c>
      <c r="B95" t="s">
        <v>20</v>
      </c>
      <c r="C95" t="s">
        <v>59</v>
      </c>
      <c r="D95" s="1">
        <v>40119</v>
      </c>
      <c r="E95">
        <v>35</v>
      </c>
      <c r="F95" s="2">
        <v>27.5256373926534</v>
      </c>
      <c r="G95" s="2">
        <v>963.397308742868</v>
      </c>
      <c r="H95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workbookViewId="0">
      <selection activeCell="J4" sqref="J4"/>
    </sheetView>
  </sheetViews>
  <sheetFormatPr defaultColWidth="8.88888888888889" defaultRowHeight="14.4"/>
  <cols>
    <col min="2" max="2" width="23.3333333333333" customWidth="1"/>
    <col min="5" max="5" width="14.6666666666667" customWidth="1"/>
  </cols>
  <sheetData>
    <row r="1" spans="1:1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N1" t="s">
        <v>297</v>
      </c>
    </row>
    <row r="2" spans="1:9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</row>
    <row r="3" spans="1:9">
      <c r="A3" t="s">
        <v>18</v>
      </c>
      <c r="B3" t="s">
        <v>19</v>
      </c>
      <c r="C3" t="s">
        <v>20</v>
      </c>
      <c r="D3" t="s">
        <v>21</v>
      </c>
      <c r="E3" s="1">
        <v>40574</v>
      </c>
      <c r="F3">
        <v>35</v>
      </c>
      <c r="G3" s="2">
        <v>27.7308540634317</v>
      </c>
      <c r="H3" s="2">
        <v>970.57989222011</v>
      </c>
      <c r="I3" t="s">
        <v>22</v>
      </c>
    </row>
    <row r="4" spans="1:9">
      <c r="A4" t="s">
        <v>25</v>
      </c>
      <c r="B4" t="s">
        <v>26</v>
      </c>
      <c r="C4" t="s">
        <v>27</v>
      </c>
      <c r="D4" t="s">
        <v>14</v>
      </c>
      <c r="E4" s="1">
        <v>39089</v>
      </c>
      <c r="F4">
        <v>42</v>
      </c>
      <c r="G4" s="2">
        <v>23.2385457007659</v>
      </c>
      <c r="H4" s="2">
        <v>976.018919432168</v>
      </c>
      <c r="I4" t="s">
        <v>15</v>
      </c>
    </row>
    <row r="5" spans="1:9">
      <c r="A5" t="s">
        <v>30</v>
      </c>
      <c r="B5" t="s">
        <v>31</v>
      </c>
      <c r="C5" t="s">
        <v>20</v>
      </c>
      <c r="D5" t="s">
        <v>14</v>
      </c>
      <c r="E5" s="1">
        <v>40095</v>
      </c>
      <c r="F5">
        <v>40</v>
      </c>
      <c r="G5" s="2">
        <v>29.6040358356933</v>
      </c>
      <c r="H5" s="2">
        <v>1184.16143342773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14</v>
      </c>
      <c r="E6" s="1">
        <v>38863</v>
      </c>
      <c r="F6">
        <v>40</v>
      </c>
      <c r="G6" s="2">
        <v>20.2945957445476</v>
      </c>
      <c r="H6" s="2">
        <v>811.783829781904</v>
      </c>
      <c r="I6" t="s">
        <v>15</v>
      </c>
    </row>
    <row r="7" spans="1:9">
      <c r="A7" t="s">
        <v>38</v>
      </c>
      <c r="B7" t="s">
        <v>39</v>
      </c>
      <c r="C7" t="s">
        <v>27</v>
      </c>
      <c r="D7" t="s">
        <v>21</v>
      </c>
      <c r="E7" s="1">
        <v>39329</v>
      </c>
      <c r="F7">
        <v>29.5</v>
      </c>
      <c r="G7" s="2">
        <v>22.5040616496157</v>
      </c>
      <c r="H7" s="2">
        <v>663.869818663664</v>
      </c>
      <c r="I7" t="s">
        <v>22</v>
      </c>
    </row>
    <row r="8" spans="1:9">
      <c r="A8" t="s">
        <v>42</v>
      </c>
      <c r="B8" t="s">
        <v>43</v>
      </c>
      <c r="C8" t="s">
        <v>27</v>
      </c>
      <c r="D8" t="s">
        <v>14</v>
      </c>
      <c r="E8" s="1">
        <v>38372</v>
      </c>
      <c r="F8">
        <v>35.5</v>
      </c>
      <c r="G8" s="2">
        <v>23.7146915473977</v>
      </c>
      <c r="H8" s="2">
        <v>841.87154993262</v>
      </c>
      <c r="I8" t="s">
        <v>22</v>
      </c>
    </row>
    <row r="9" spans="1:9">
      <c r="A9" t="s">
        <v>46</v>
      </c>
      <c r="B9" t="s">
        <v>47</v>
      </c>
      <c r="C9" t="s">
        <v>27</v>
      </c>
      <c r="D9" t="s">
        <v>21</v>
      </c>
      <c r="E9" s="1">
        <v>37721</v>
      </c>
      <c r="F9">
        <v>40</v>
      </c>
      <c r="G9" s="2">
        <v>24.6342558337354</v>
      </c>
      <c r="H9" s="2">
        <v>985.370233349417</v>
      </c>
      <c r="I9" t="s">
        <v>15</v>
      </c>
    </row>
    <row r="10" spans="1:9">
      <c r="A10" t="s">
        <v>49</v>
      </c>
      <c r="B10" t="s">
        <v>50</v>
      </c>
      <c r="C10" t="s">
        <v>36</v>
      </c>
      <c r="D10" t="s">
        <v>51</v>
      </c>
      <c r="E10" s="1">
        <v>38014</v>
      </c>
      <c r="F10">
        <v>40</v>
      </c>
      <c r="G10" s="2">
        <v>24.0625161257531</v>
      </c>
      <c r="H10" s="2">
        <v>962.500645030123</v>
      </c>
      <c r="I10" t="s">
        <v>15</v>
      </c>
    </row>
    <row r="11" spans="1:9">
      <c r="A11" t="s">
        <v>54</v>
      </c>
      <c r="B11" t="s">
        <v>55</v>
      </c>
      <c r="C11" t="s">
        <v>27</v>
      </c>
      <c r="D11" t="s">
        <v>14</v>
      </c>
      <c r="E11" s="1">
        <v>39406</v>
      </c>
      <c r="F11">
        <v>35.5</v>
      </c>
      <c r="G11" s="2">
        <v>22.4745266505368</v>
      </c>
      <c r="H11" s="2">
        <v>797.845696094057</v>
      </c>
      <c r="I11" t="s">
        <v>22</v>
      </c>
    </row>
    <row r="12" spans="1:9">
      <c r="A12" t="s">
        <v>57</v>
      </c>
      <c r="B12" t="s">
        <v>58</v>
      </c>
      <c r="C12" t="s">
        <v>36</v>
      </c>
      <c r="D12" t="s">
        <v>59</v>
      </c>
      <c r="E12" s="1">
        <v>40636</v>
      </c>
      <c r="F12">
        <v>40</v>
      </c>
      <c r="G12" s="2">
        <v>26.2274469754406</v>
      </c>
      <c r="H12" s="2">
        <v>1049.09787901763</v>
      </c>
      <c r="I12" t="s">
        <v>15</v>
      </c>
    </row>
    <row r="13" spans="1:9">
      <c r="A13" t="s">
        <v>62</v>
      </c>
      <c r="B13" t="s">
        <v>63</v>
      </c>
      <c r="C13" t="s">
        <v>36</v>
      </c>
      <c r="D13" t="s">
        <v>59</v>
      </c>
      <c r="E13" s="1">
        <v>37299</v>
      </c>
      <c r="F13">
        <v>40</v>
      </c>
      <c r="G13" s="2">
        <v>20.4595521381667</v>
      </c>
      <c r="H13" s="2">
        <v>818.382085526669</v>
      </c>
      <c r="I13" t="s">
        <v>15</v>
      </c>
    </row>
    <row r="14" spans="1:9">
      <c r="A14" t="s">
        <v>65</v>
      </c>
      <c r="B14" t="s">
        <v>66</v>
      </c>
      <c r="C14" t="s">
        <v>36</v>
      </c>
      <c r="D14" t="s">
        <v>14</v>
      </c>
      <c r="E14" s="1">
        <v>39601</v>
      </c>
      <c r="F14">
        <v>40</v>
      </c>
      <c r="G14" s="2">
        <v>20.3846080101342</v>
      </c>
      <c r="H14" s="2">
        <v>815.384320405368</v>
      </c>
      <c r="I14" t="s">
        <v>15</v>
      </c>
    </row>
    <row r="15" spans="1:9">
      <c r="A15" t="s">
        <v>69</v>
      </c>
      <c r="B15" t="s">
        <v>70</v>
      </c>
      <c r="C15" t="s">
        <v>36</v>
      </c>
      <c r="D15" t="s">
        <v>59</v>
      </c>
      <c r="E15" s="1">
        <v>39051</v>
      </c>
      <c r="F15">
        <v>15.5</v>
      </c>
      <c r="G15" s="2">
        <v>23.8590814253866</v>
      </c>
      <c r="H15" s="2">
        <v>369.815762093492</v>
      </c>
      <c r="I15" t="s">
        <v>22</v>
      </c>
    </row>
    <row r="16" spans="1:9">
      <c r="A16" t="s">
        <v>72</v>
      </c>
      <c r="B16" t="s">
        <v>73</v>
      </c>
      <c r="C16" t="s">
        <v>13</v>
      </c>
      <c r="D16" t="s">
        <v>59</v>
      </c>
      <c r="E16" s="1">
        <v>39223</v>
      </c>
      <c r="F16">
        <v>38</v>
      </c>
      <c r="G16" s="2">
        <v>26.2234936764226</v>
      </c>
      <c r="H16" s="2">
        <v>996.49275970406</v>
      </c>
      <c r="I16" t="s">
        <v>22</v>
      </c>
    </row>
    <row r="17" spans="1:9">
      <c r="A17" t="s">
        <v>76</v>
      </c>
      <c r="B17" t="s">
        <v>77</v>
      </c>
      <c r="C17" t="s">
        <v>20</v>
      </c>
      <c r="D17" t="s">
        <v>59</v>
      </c>
      <c r="E17" s="1">
        <v>39259</v>
      </c>
      <c r="F17">
        <v>40</v>
      </c>
      <c r="G17" s="2">
        <v>24.122312108731</v>
      </c>
      <c r="H17" s="2">
        <v>964.89248434924</v>
      </c>
      <c r="I17" t="s">
        <v>15</v>
      </c>
    </row>
    <row r="18" spans="1:9">
      <c r="A18" t="s">
        <v>80</v>
      </c>
      <c r="B18" t="s">
        <v>81</v>
      </c>
      <c r="C18" t="s">
        <v>27</v>
      </c>
      <c r="D18" t="s">
        <v>14</v>
      </c>
      <c r="E18" s="1">
        <v>40108</v>
      </c>
      <c r="F18">
        <v>40</v>
      </c>
      <c r="G18" s="2">
        <v>27.4278911367849</v>
      </c>
      <c r="H18" s="2">
        <v>1097.11564547139</v>
      </c>
      <c r="I18" t="s">
        <v>15</v>
      </c>
    </row>
    <row r="19" spans="1:9">
      <c r="A19" t="s">
        <v>84</v>
      </c>
      <c r="B19" t="s">
        <v>85</v>
      </c>
      <c r="C19" t="s">
        <v>13</v>
      </c>
      <c r="D19" t="s">
        <v>14</v>
      </c>
      <c r="E19" s="1">
        <v>39865</v>
      </c>
      <c r="F19">
        <v>35</v>
      </c>
      <c r="G19" s="2">
        <v>24.9864365543203</v>
      </c>
      <c r="H19" s="2">
        <v>874.525279401211</v>
      </c>
      <c r="I19" t="s">
        <v>22</v>
      </c>
    </row>
    <row r="20" spans="1:9">
      <c r="A20" t="s">
        <v>88</v>
      </c>
      <c r="B20" t="s">
        <v>89</v>
      </c>
      <c r="C20" t="s">
        <v>36</v>
      </c>
      <c r="D20" t="s">
        <v>51</v>
      </c>
      <c r="E20" s="1">
        <v>38551</v>
      </c>
      <c r="F20">
        <v>40</v>
      </c>
      <c r="G20" s="2">
        <v>28.1837716768448</v>
      </c>
      <c r="H20" s="2">
        <v>1127.35086707379</v>
      </c>
      <c r="I20" t="s">
        <v>15</v>
      </c>
    </row>
    <row r="21" spans="1:9">
      <c r="A21" t="s">
        <v>92</v>
      </c>
      <c r="B21" t="s">
        <v>93</v>
      </c>
      <c r="C21" t="s">
        <v>20</v>
      </c>
      <c r="D21" t="s">
        <v>21</v>
      </c>
      <c r="E21" s="1">
        <v>38202</v>
      </c>
      <c r="F21">
        <v>35.5</v>
      </c>
      <c r="G21" s="2">
        <v>23.5513467037949</v>
      </c>
      <c r="H21" s="2">
        <v>836.072807984721</v>
      </c>
      <c r="I21" t="s">
        <v>22</v>
      </c>
    </row>
    <row r="22" spans="1:9">
      <c r="A22" t="s">
        <v>96</v>
      </c>
      <c r="B22" t="s">
        <v>97</v>
      </c>
      <c r="C22" t="s">
        <v>20</v>
      </c>
      <c r="D22" t="s">
        <v>21</v>
      </c>
      <c r="E22" s="1">
        <v>39385</v>
      </c>
      <c r="F22">
        <v>38</v>
      </c>
      <c r="G22" s="2">
        <v>21.527759251738</v>
      </c>
      <c r="H22" s="2">
        <v>818.054851566046</v>
      </c>
      <c r="I22" t="s">
        <v>22</v>
      </c>
    </row>
    <row r="23" spans="1:9">
      <c r="A23" t="s">
        <v>100</v>
      </c>
      <c r="B23" t="s">
        <v>101</v>
      </c>
      <c r="C23" t="s">
        <v>20</v>
      </c>
      <c r="D23" t="s">
        <v>21</v>
      </c>
      <c r="E23" s="1">
        <v>37877</v>
      </c>
      <c r="F23">
        <v>40</v>
      </c>
      <c r="G23" s="2">
        <v>29.435165359699</v>
      </c>
      <c r="H23" s="2">
        <v>1177.40661438796</v>
      </c>
      <c r="I23" t="s">
        <v>15</v>
      </c>
    </row>
    <row r="24" spans="1:9">
      <c r="A24" t="s">
        <v>104</v>
      </c>
      <c r="B24" t="s">
        <v>105</v>
      </c>
      <c r="C24" t="s">
        <v>20</v>
      </c>
      <c r="D24" t="s">
        <v>21</v>
      </c>
      <c r="E24" s="1">
        <v>37779</v>
      </c>
      <c r="F24">
        <v>40</v>
      </c>
      <c r="G24" s="2">
        <v>28.5585427782549</v>
      </c>
      <c r="H24" s="2">
        <v>1142.3417111302</v>
      </c>
      <c r="I24" t="s">
        <v>15</v>
      </c>
    </row>
    <row r="25" spans="1:9">
      <c r="A25" t="s">
        <v>108</v>
      </c>
      <c r="B25" t="s">
        <v>109</v>
      </c>
      <c r="C25" t="s">
        <v>13</v>
      </c>
      <c r="D25" t="s">
        <v>21</v>
      </c>
      <c r="E25" s="1">
        <v>40611</v>
      </c>
      <c r="F25">
        <v>35</v>
      </c>
      <c r="G25" s="2">
        <v>21.3408234410477</v>
      </c>
      <c r="H25" s="2">
        <v>746.928820436669</v>
      </c>
      <c r="I25" t="s">
        <v>22</v>
      </c>
    </row>
    <row r="26" spans="1:9">
      <c r="A26" t="s">
        <v>112</v>
      </c>
      <c r="B26" t="s">
        <v>113</v>
      </c>
      <c r="C26" t="s">
        <v>13</v>
      </c>
      <c r="D26" t="s">
        <v>21</v>
      </c>
      <c r="E26" s="1">
        <v>38808</v>
      </c>
      <c r="F26">
        <v>25</v>
      </c>
      <c r="G26" s="2">
        <v>26.7983252095194</v>
      </c>
      <c r="H26" s="2">
        <v>669.958130237985</v>
      </c>
      <c r="I26" t="s">
        <v>22</v>
      </c>
    </row>
    <row r="27" spans="1:9">
      <c r="A27" t="s">
        <v>116</v>
      </c>
      <c r="B27" t="s">
        <v>117</v>
      </c>
      <c r="C27" t="s">
        <v>20</v>
      </c>
      <c r="D27" t="s">
        <v>21</v>
      </c>
      <c r="E27" s="1">
        <v>39807</v>
      </c>
      <c r="F27">
        <v>32</v>
      </c>
      <c r="G27" s="2">
        <v>29.9348706756959</v>
      </c>
      <c r="H27" s="2">
        <v>957.915861622268</v>
      </c>
      <c r="I27" t="s">
        <v>22</v>
      </c>
    </row>
    <row r="28" spans="1:9">
      <c r="A28" t="s">
        <v>120</v>
      </c>
      <c r="B28" t="s">
        <v>121</v>
      </c>
      <c r="C28" t="s">
        <v>20</v>
      </c>
      <c r="D28" t="s">
        <v>51</v>
      </c>
      <c r="E28" s="1">
        <v>39233</v>
      </c>
      <c r="F28">
        <v>35</v>
      </c>
      <c r="G28" s="2">
        <v>22.5344105761657</v>
      </c>
      <c r="H28" s="2">
        <v>788.704370165799</v>
      </c>
      <c r="I28" t="s">
        <v>22</v>
      </c>
    </row>
    <row r="29" spans="1:9">
      <c r="A29" t="s">
        <v>124</v>
      </c>
      <c r="B29" t="s">
        <v>125</v>
      </c>
      <c r="C29" t="s">
        <v>20</v>
      </c>
      <c r="D29" t="s">
        <v>59</v>
      </c>
      <c r="E29" s="1">
        <v>40155</v>
      </c>
      <c r="F29">
        <v>25</v>
      </c>
      <c r="G29" s="2">
        <v>22.0288511044065</v>
      </c>
      <c r="H29" s="2">
        <v>550.721277610162</v>
      </c>
      <c r="I29" t="s">
        <v>22</v>
      </c>
    </row>
    <row r="30" spans="1:9">
      <c r="A30" t="s">
        <v>128</v>
      </c>
      <c r="B30" t="s">
        <v>129</v>
      </c>
      <c r="C30" t="s">
        <v>20</v>
      </c>
      <c r="D30" t="s">
        <v>51</v>
      </c>
      <c r="E30" s="1">
        <v>38263</v>
      </c>
      <c r="F30">
        <v>40</v>
      </c>
      <c r="G30" s="2">
        <v>22.224435083452</v>
      </c>
      <c r="H30" s="2">
        <v>888.977403338081</v>
      </c>
      <c r="I30" t="s">
        <v>15</v>
      </c>
    </row>
    <row r="31" spans="1:9">
      <c r="A31" t="s">
        <v>132</v>
      </c>
      <c r="B31" t="s">
        <v>133</v>
      </c>
      <c r="C31" t="s">
        <v>27</v>
      </c>
      <c r="D31" t="s">
        <v>14</v>
      </c>
      <c r="E31" s="1">
        <v>39414</v>
      </c>
      <c r="F31">
        <v>35.5</v>
      </c>
      <c r="G31" s="2">
        <v>24.0440594640406</v>
      </c>
      <c r="H31" s="2">
        <v>853.56411097344</v>
      </c>
      <c r="I31" t="s">
        <v>22</v>
      </c>
    </row>
    <row r="32" spans="1:9">
      <c r="A32" t="s">
        <v>136</v>
      </c>
      <c r="B32" t="s">
        <v>137</v>
      </c>
      <c r="C32" t="s">
        <v>27</v>
      </c>
      <c r="D32" t="s">
        <v>21</v>
      </c>
      <c r="E32" s="1">
        <v>39831</v>
      </c>
      <c r="F32">
        <v>29.5</v>
      </c>
      <c r="G32" s="2">
        <v>27.9270088695213</v>
      </c>
      <c r="H32" s="2">
        <v>823.846761650878</v>
      </c>
      <c r="I32" t="s">
        <v>22</v>
      </c>
    </row>
    <row r="33" spans="1:9">
      <c r="A33" t="s">
        <v>140</v>
      </c>
      <c r="B33" t="s">
        <v>141</v>
      </c>
      <c r="C33" t="s">
        <v>13</v>
      </c>
      <c r="D33" t="s">
        <v>59</v>
      </c>
      <c r="E33" s="1">
        <v>38474</v>
      </c>
      <c r="F33">
        <v>40</v>
      </c>
      <c r="G33" s="2">
        <v>25.3218774491568</v>
      </c>
      <c r="H33" s="2">
        <v>1012.87509796627</v>
      </c>
      <c r="I33" t="s">
        <v>15</v>
      </c>
    </row>
    <row r="34" spans="1:9">
      <c r="A34" t="s">
        <v>144</v>
      </c>
      <c r="B34" t="s">
        <v>145</v>
      </c>
      <c r="C34" t="s">
        <v>13</v>
      </c>
      <c r="D34" t="s">
        <v>59</v>
      </c>
      <c r="E34" s="1">
        <v>40205</v>
      </c>
      <c r="F34">
        <v>35.5</v>
      </c>
      <c r="G34" s="2">
        <v>22.0416278412084</v>
      </c>
      <c r="H34" s="2">
        <v>782.477788362898</v>
      </c>
      <c r="I34" t="s">
        <v>22</v>
      </c>
    </row>
    <row r="35" spans="1:9">
      <c r="A35" t="s">
        <v>148</v>
      </c>
      <c r="B35" t="s">
        <v>149</v>
      </c>
      <c r="C35" t="s">
        <v>20</v>
      </c>
      <c r="D35" t="s">
        <v>59</v>
      </c>
      <c r="E35" s="1">
        <v>39053</v>
      </c>
      <c r="F35">
        <v>32</v>
      </c>
      <c r="G35" s="2">
        <v>20.9360592580624</v>
      </c>
      <c r="H35" s="2">
        <v>669.953896257996</v>
      </c>
      <c r="I35" t="s">
        <v>22</v>
      </c>
    </row>
    <row r="36" spans="1:9">
      <c r="A36" t="s">
        <v>152</v>
      </c>
      <c r="B36" t="s">
        <v>153</v>
      </c>
      <c r="C36" t="s">
        <v>27</v>
      </c>
      <c r="D36" t="s">
        <v>14</v>
      </c>
      <c r="E36" s="1">
        <v>38914</v>
      </c>
      <c r="F36">
        <v>35.5</v>
      </c>
      <c r="G36" s="2">
        <v>23.7804724680972</v>
      </c>
      <c r="H36" s="2">
        <v>844.206772617451</v>
      </c>
      <c r="I36" t="s">
        <v>22</v>
      </c>
    </row>
    <row r="37" spans="1:9">
      <c r="A37" t="s">
        <v>156</v>
      </c>
      <c r="B37" t="s">
        <v>157</v>
      </c>
      <c r="C37" t="s">
        <v>20</v>
      </c>
      <c r="D37" t="s">
        <v>59</v>
      </c>
      <c r="E37" s="1">
        <v>38727</v>
      </c>
      <c r="F37">
        <v>35</v>
      </c>
      <c r="G37" s="2">
        <v>26.870973454107</v>
      </c>
      <c r="H37" s="2">
        <v>940.484070893745</v>
      </c>
      <c r="I37" t="s">
        <v>22</v>
      </c>
    </row>
    <row r="38" spans="1:9">
      <c r="A38" t="s">
        <v>160</v>
      </c>
      <c r="B38" t="s">
        <v>161</v>
      </c>
      <c r="C38" t="s">
        <v>27</v>
      </c>
      <c r="D38" t="s">
        <v>14</v>
      </c>
      <c r="E38" s="1">
        <v>38659</v>
      </c>
      <c r="F38">
        <v>40</v>
      </c>
      <c r="G38" s="2">
        <v>28.0351807192208</v>
      </c>
      <c r="H38" s="2">
        <v>1121.40722876883</v>
      </c>
      <c r="I38" t="s">
        <v>15</v>
      </c>
    </row>
    <row r="39" spans="1:9">
      <c r="A39" t="s">
        <v>164</v>
      </c>
      <c r="B39" t="s">
        <v>165</v>
      </c>
      <c r="C39" t="s">
        <v>20</v>
      </c>
      <c r="D39" t="s">
        <v>51</v>
      </c>
      <c r="E39" s="1">
        <v>39430</v>
      </c>
      <c r="F39">
        <v>40</v>
      </c>
      <c r="G39" s="2">
        <v>22.0025822256507</v>
      </c>
      <c r="H39" s="2">
        <v>880.10328902603</v>
      </c>
      <c r="I39" t="s">
        <v>15</v>
      </c>
    </row>
    <row r="40" spans="1:9">
      <c r="A40" t="s">
        <v>168</v>
      </c>
      <c r="B40" t="s">
        <v>169</v>
      </c>
      <c r="C40" t="s">
        <v>20</v>
      </c>
      <c r="D40" t="s">
        <v>14</v>
      </c>
      <c r="E40" s="1">
        <v>38026</v>
      </c>
      <c r="F40">
        <v>40</v>
      </c>
      <c r="G40" s="2">
        <v>24.209926541516</v>
      </c>
      <c r="H40" s="2">
        <v>968.397061660642</v>
      </c>
      <c r="I40" t="s">
        <v>15</v>
      </c>
    </row>
    <row r="41" spans="1:9">
      <c r="A41" t="s">
        <v>172</v>
      </c>
      <c r="B41" t="s">
        <v>173</v>
      </c>
      <c r="C41" t="s">
        <v>20</v>
      </c>
      <c r="D41" t="s">
        <v>51</v>
      </c>
      <c r="E41" s="1">
        <v>39575</v>
      </c>
      <c r="F41">
        <v>40</v>
      </c>
      <c r="G41" s="2">
        <v>26.4166446930878</v>
      </c>
      <c r="H41" s="2">
        <v>1056.66578772351</v>
      </c>
      <c r="I41" t="s">
        <v>15</v>
      </c>
    </row>
    <row r="42" spans="1:9">
      <c r="A42" t="s">
        <v>176</v>
      </c>
      <c r="B42" t="s">
        <v>177</v>
      </c>
      <c r="C42" t="s">
        <v>27</v>
      </c>
      <c r="D42" t="s">
        <v>59</v>
      </c>
      <c r="E42" s="1">
        <v>38989</v>
      </c>
      <c r="F42">
        <v>40</v>
      </c>
      <c r="G42" s="2">
        <v>26.1563408101695</v>
      </c>
      <c r="H42" s="2">
        <v>1046.25363240678</v>
      </c>
      <c r="I42" t="s">
        <v>15</v>
      </c>
    </row>
    <row r="43" spans="1:9">
      <c r="A43" t="s">
        <v>180</v>
      </c>
      <c r="B43" t="s">
        <v>181</v>
      </c>
      <c r="C43" t="s">
        <v>27</v>
      </c>
      <c r="D43" t="s">
        <v>59</v>
      </c>
      <c r="E43" s="1">
        <v>40127</v>
      </c>
      <c r="F43">
        <v>40</v>
      </c>
      <c r="G43" s="2">
        <v>28.8001607672559</v>
      </c>
      <c r="H43" s="2">
        <v>1152.00643069023</v>
      </c>
      <c r="I43" t="s">
        <v>15</v>
      </c>
    </row>
    <row r="44" spans="1:9">
      <c r="A44" t="s">
        <v>184</v>
      </c>
      <c r="B44" t="s">
        <v>185</v>
      </c>
      <c r="C44" t="s">
        <v>27</v>
      </c>
      <c r="D44" t="s">
        <v>14</v>
      </c>
      <c r="E44" s="1">
        <v>39070</v>
      </c>
      <c r="F44">
        <v>35.5</v>
      </c>
      <c r="G44" s="2">
        <v>24.7005037048751</v>
      </c>
      <c r="H44" s="2">
        <v>876.867881523066</v>
      </c>
      <c r="I44" t="s">
        <v>22</v>
      </c>
    </row>
    <row r="45" spans="1:9">
      <c r="A45" t="s">
        <v>187</v>
      </c>
      <c r="B45" t="s">
        <v>188</v>
      </c>
      <c r="C45" t="s">
        <v>36</v>
      </c>
      <c r="D45" t="s">
        <v>21</v>
      </c>
      <c r="E45" s="1">
        <v>39251</v>
      </c>
      <c r="F45">
        <v>40</v>
      </c>
      <c r="G45" s="2">
        <v>24.7208809045488</v>
      </c>
      <c r="H45" s="2">
        <v>988.835236181952</v>
      </c>
      <c r="I45" t="s">
        <v>15</v>
      </c>
    </row>
    <row r="46" spans="1:9">
      <c r="A46" t="s">
        <v>190</v>
      </c>
      <c r="B46" t="s">
        <v>191</v>
      </c>
      <c r="C46" t="s">
        <v>36</v>
      </c>
      <c r="D46" t="s">
        <v>14</v>
      </c>
      <c r="E46" s="1">
        <v>39925</v>
      </c>
      <c r="F46">
        <v>15.5</v>
      </c>
      <c r="G46" s="2">
        <v>22.0461359567629</v>
      </c>
      <c r="H46" s="2">
        <v>341.715107329824</v>
      </c>
      <c r="I46" t="s">
        <v>22</v>
      </c>
    </row>
    <row r="47" spans="1:9">
      <c r="A47" t="s">
        <v>193</v>
      </c>
      <c r="B47" t="s">
        <v>194</v>
      </c>
      <c r="C47" t="s">
        <v>20</v>
      </c>
      <c r="D47" t="s">
        <v>59</v>
      </c>
      <c r="E47" s="1">
        <v>39226</v>
      </c>
      <c r="F47">
        <v>25</v>
      </c>
      <c r="G47" s="2">
        <v>29.0167556854929</v>
      </c>
      <c r="H47" s="2">
        <v>725.418892137322</v>
      </c>
      <c r="I47" t="s">
        <v>22</v>
      </c>
    </row>
    <row r="48" spans="1:9">
      <c r="A48" t="s">
        <v>196</v>
      </c>
      <c r="B48" t="s">
        <v>197</v>
      </c>
      <c r="C48" t="s">
        <v>36</v>
      </c>
      <c r="D48" t="s">
        <v>14</v>
      </c>
      <c r="E48" s="1">
        <v>40561</v>
      </c>
      <c r="F48">
        <v>40</v>
      </c>
      <c r="G48" s="2">
        <v>27.3588677466791</v>
      </c>
      <c r="H48" s="2">
        <v>1094.35470986716</v>
      </c>
      <c r="I48" t="s">
        <v>15</v>
      </c>
    </row>
    <row r="49" spans="1:9">
      <c r="A49" t="s">
        <v>198</v>
      </c>
      <c r="B49" t="s">
        <v>199</v>
      </c>
      <c r="C49" t="s">
        <v>36</v>
      </c>
      <c r="D49" t="s">
        <v>14</v>
      </c>
      <c r="E49" s="1">
        <v>38080</v>
      </c>
      <c r="F49">
        <v>40</v>
      </c>
      <c r="G49" s="2">
        <v>23.5591787626696</v>
      </c>
      <c r="H49" s="2">
        <v>942.367150506783</v>
      </c>
      <c r="I49" t="s">
        <v>15</v>
      </c>
    </row>
    <row r="50" spans="1:9">
      <c r="A50" t="s">
        <v>200</v>
      </c>
      <c r="B50" t="s">
        <v>201</v>
      </c>
      <c r="C50" t="s">
        <v>13</v>
      </c>
      <c r="D50" t="s">
        <v>59</v>
      </c>
      <c r="E50" s="1">
        <v>37784</v>
      </c>
      <c r="F50">
        <v>38</v>
      </c>
      <c r="G50" s="2">
        <v>25.8959240312466</v>
      </c>
      <c r="H50" s="2">
        <v>984.04511318737</v>
      </c>
      <c r="I50" t="s">
        <v>22</v>
      </c>
    </row>
    <row r="51" spans="1:9">
      <c r="A51" t="s">
        <v>202</v>
      </c>
      <c r="B51" t="s">
        <v>203</v>
      </c>
      <c r="C51" t="s">
        <v>20</v>
      </c>
      <c r="D51" t="s">
        <v>51</v>
      </c>
      <c r="E51" s="1">
        <v>40135</v>
      </c>
      <c r="F51">
        <v>40</v>
      </c>
      <c r="G51" s="2">
        <v>23.7440482448647</v>
      </c>
      <c r="H51" s="2">
        <v>949.761929794589</v>
      </c>
      <c r="I51" t="s">
        <v>15</v>
      </c>
    </row>
    <row r="52" spans="1:9">
      <c r="A52" t="s">
        <v>204</v>
      </c>
      <c r="B52" t="s">
        <v>205</v>
      </c>
      <c r="C52" t="s">
        <v>20</v>
      </c>
      <c r="D52" t="s">
        <v>59</v>
      </c>
      <c r="E52" s="1">
        <v>38851</v>
      </c>
      <c r="F52">
        <v>40</v>
      </c>
      <c r="G52" s="2">
        <v>22.1172203389426</v>
      </c>
      <c r="H52" s="2">
        <v>884.688813557704</v>
      </c>
      <c r="I52" t="s">
        <v>15</v>
      </c>
    </row>
    <row r="53" spans="1:9">
      <c r="A53" t="s">
        <v>206</v>
      </c>
      <c r="B53" t="s">
        <v>207</v>
      </c>
      <c r="C53" t="s">
        <v>20</v>
      </c>
      <c r="D53" t="s">
        <v>21</v>
      </c>
      <c r="E53" s="1">
        <v>38995</v>
      </c>
      <c r="F53">
        <v>40</v>
      </c>
      <c r="G53" s="2">
        <v>28.5041873925272</v>
      </c>
      <c r="H53" s="2">
        <v>1140.16749570109</v>
      </c>
      <c r="I53" t="s">
        <v>15</v>
      </c>
    </row>
    <row r="54" spans="1:9">
      <c r="A54" t="s">
        <v>208</v>
      </c>
      <c r="B54" t="s">
        <v>209</v>
      </c>
      <c r="C54" t="s">
        <v>27</v>
      </c>
      <c r="D54" t="s">
        <v>59</v>
      </c>
      <c r="E54" s="1">
        <v>37439</v>
      </c>
      <c r="F54">
        <v>40</v>
      </c>
      <c r="G54" s="2">
        <v>23.8861934229302</v>
      </c>
      <c r="H54" s="2">
        <v>955.447736917208</v>
      </c>
      <c r="I54" t="s">
        <v>15</v>
      </c>
    </row>
    <row r="55" spans="1:9">
      <c r="A55" t="s">
        <v>210</v>
      </c>
      <c r="B55" t="s">
        <v>211</v>
      </c>
      <c r="C55" t="s">
        <v>13</v>
      </c>
      <c r="D55" t="s">
        <v>51</v>
      </c>
      <c r="E55" s="1">
        <v>40601</v>
      </c>
      <c r="F55">
        <v>40</v>
      </c>
      <c r="G55" s="2">
        <v>24.4318025315317</v>
      </c>
      <c r="H55" s="2">
        <v>977.272101261268</v>
      </c>
      <c r="I55" t="s">
        <v>15</v>
      </c>
    </row>
    <row r="56" spans="1:9">
      <c r="A56" t="s">
        <v>212</v>
      </c>
      <c r="B56" t="s">
        <v>213</v>
      </c>
      <c r="C56" t="s">
        <v>27</v>
      </c>
      <c r="D56" t="s">
        <v>21</v>
      </c>
      <c r="E56" s="1">
        <v>36264</v>
      </c>
      <c r="F56">
        <v>40</v>
      </c>
      <c r="G56" s="2">
        <v>24.3651867901812</v>
      </c>
      <c r="H56" s="2">
        <v>974.607471607247</v>
      </c>
      <c r="I56" t="s">
        <v>15</v>
      </c>
    </row>
    <row r="57" spans="1:9">
      <c r="A57" t="s">
        <v>214</v>
      </c>
      <c r="B57" t="s">
        <v>215</v>
      </c>
      <c r="C57" t="s">
        <v>20</v>
      </c>
      <c r="D57" t="s">
        <v>14</v>
      </c>
      <c r="E57" s="1">
        <v>39238</v>
      </c>
      <c r="F57">
        <v>40</v>
      </c>
      <c r="G57" s="2">
        <v>26.7929940105714</v>
      </c>
      <c r="H57" s="2">
        <v>1071.71976042286</v>
      </c>
      <c r="I57" t="s">
        <v>15</v>
      </c>
    </row>
    <row r="58" spans="1:9">
      <c r="A58" t="s">
        <v>216</v>
      </c>
      <c r="B58" t="s">
        <v>217</v>
      </c>
      <c r="C58" t="s">
        <v>13</v>
      </c>
      <c r="D58" t="s">
        <v>59</v>
      </c>
      <c r="E58" s="1">
        <v>40754</v>
      </c>
      <c r="F58">
        <v>32</v>
      </c>
      <c r="G58" s="2">
        <v>26.9521621799409</v>
      </c>
      <c r="H58" s="2">
        <v>862.46918975811</v>
      </c>
      <c r="I58" t="s">
        <v>22</v>
      </c>
    </row>
    <row r="59" spans="1:9">
      <c r="A59" t="s">
        <v>218</v>
      </c>
      <c r="B59" t="s">
        <v>219</v>
      </c>
      <c r="C59" t="s">
        <v>36</v>
      </c>
      <c r="D59" t="s">
        <v>14</v>
      </c>
      <c r="E59" s="1">
        <v>39138</v>
      </c>
      <c r="F59">
        <v>15.5</v>
      </c>
      <c r="G59" s="2">
        <v>26.3802017837466</v>
      </c>
      <c r="H59" s="2">
        <v>408.893127648072</v>
      </c>
      <c r="I59" t="s">
        <v>22</v>
      </c>
    </row>
    <row r="60" spans="1:9">
      <c r="A60" t="s">
        <v>220</v>
      </c>
      <c r="B60" t="s">
        <v>221</v>
      </c>
      <c r="C60" t="s">
        <v>36</v>
      </c>
      <c r="D60" t="s">
        <v>14</v>
      </c>
      <c r="E60" s="1">
        <v>38217</v>
      </c>
      <c r="F60">
        <v>40</v>
      </c>
      <c r="G60" s="2">
        <v>29.4332293587101</v>
      </c>
      <c r="H60" s="2">
        <v>1177.32917434841</v>
      </c>
      <c r="I60" t="s">
        <v>15</v>
      </c>
    </row>
    <row r="61" spans="1:9">
      <c r="A61" t="s">
        <v>222</v>
      </c>
      <c r="B61" t="s">
        <v>223</v>
      </c>
      <c r="C61" t="s">
        <v>27</v>
      </c>
      <c r="D61" t="s">
        <v>21</v>
      </c>
      <c r="E61" s="1">
        <v>39378</v>
      </c>
      <c r="F61">
        <v>40</v>
      </c>
      <c r="G61" s="2">
        <v>22.9135978775507</v>
      </c>
      <c r="H61" s="2">
        <v>916.54391510203</v>
      </c>
      <c r="I61" t="s">
        <v>15</v>
      </c>
    </row>
    <row r="62" spans="1:9">
      <c r="A62" t="s">
        <v>224</v>
      </c>
      <c r="B62" t="s">
        <v>225</v>
      </c>
      <c r="C62" t="s">
        <v>27</v>
      </c>
      <c r="D62" t="s">
        <v>14</v>
      </c>
      <c r="E62" s="1">
        <v>41968</v>
      </c>
      <c r="F62">
        <v>40</v>
      </c>
      <c r="G62" s="2">
        <v>21.063510642513</v>
      </c>
      <c r="H62" s="2">
        <v>842.540425700521</v>
      </c>
      <c r="I62" t="s">
        <v>15</v>
      </c>
    </row>
    <row r="63" spans="1:9">
      <c r="A63" t="s">
        <v>226</v>
      </c>
      <c r="B63" t="s">
        <v>227</v>
      </c>
      <c r="C63" t="s">
        <v>20</v>
      </c>
      <c r="D63" t="s">
        <v>14</v>
      </c>
      <c r="E63" s="1">
        <v>40397</v>
      </c>
      <c r="F63">
        <v>35</v>
      </c>
      <c r="G63" s="2">
        <v>26.1930616475145</v>
      </c>
      <c r="H63" s="2">
        <v>916.757157663007</v>
      </c>
      <c r="I63" t="s">
        <v>22</v>
      </c>
    </row>
    <row r="64" spans="1:9">
      <c r="A64" t="s">
        <v>228</v>
      </c>
      <c r="B64" t="s">
        <v>229</v>
      </c>
      <c r="C64" t="s">
        <v>13</v>
      </c>
      <c r="D64" t="s">
        <v>14</v>
      </c>
      <c r="E64" s="1">
        <v>38068</v>
      </c>
      <c r="F64">
        <v>35.5</v>
      </c>
      <c r="G64" s="2">
        <v>26.441106244959</v>
      </c>
      <c r="H64" s="2">
        <v>938.659271696046</v>
      </c>
      <c r="I64" t="s">
        <v>22</v>
      </c>
    </row>
    <row r="65" spans="1:9">
      <c r="A65" t="s">
        <v>230</v>
      </c>
      <c r="B65" t="s">
        <v>231</v>
      </c>
      <c r="C65" t="s">
        <v>13</v>
      </c>
      <c r="D65" t="s">
        <v>51</v>
      </c>
      <c r="E65" s="1">
        <v>38211</v>
      </c>
      <c r="F65">
        <v>32</v>
      </c>
      <c r="G65" s="2">
        <v>20.8628676904625</v>
      </c>
      <c r="H65" s="2">
        <v>667.6117660948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236</v>
      </c>
      <c r="B68" t="s">
        <v>237</v>
      </c>
      <c r="C68" t="s">
        <v>27</v>
      </c>
      <c r="D68" t="s">
        <v>59</v>
      </c>
      <c r="E68" s="1">
        <v>39418</v>
      </c>
      <c r="F68">
        <v>29.5</v>
      </c>
      <c r="G68" s="2">
        <v>27.2459372602021</v>
      </c>
      <c r="H68" s="2">
        <v>803.755149175961</v>
      </c>
      <c r="I68" t="s">
        <v>22</v>
      </c>
    </row>
    <row r="69" spans="1:9">
      <c r="A69" t="s">
        <v>238</v>
      </c>
      <c r="B69" t="s">
        <v>239</v>
      </c>
      <c r="C69" t="s">
        <v>13</v>
      </c>
      <c r="D69" t="s">
        <v>21</v>
      </c>
      <c r="E69" s="1">
        <v>40268</v>
      </c>
      <c r="F69">
        <v>32</v>
      </c>
      <c r="G69" s="2">
        <v>24.7808249198699</v>
      </c>
      <c r="H69" s="2">
        <v>792.986397435835</v>
      </c>
      <c r="I69" t="s">
        <v>22</v>
      </c>
    </row>
    <row r="70" spans="1:9">
      <c r="A70" t="s">
        <v>240</v>
      </c>
      <c r="B70" t="s">
        <v>241</v>
      </c>
      <c r="C70" t="s">
        <v>36</v>
      </c>
      <c r="D70" t="s">
        <v>21</v>
      </c>
      <c r="E70" s="1">
        <v>39770</v>
      </c>
      <c r="F70">
        <v>35</v>
      </c>
      <c r="G70" s="2">
        <v>20.9514694627171</v>
      </c>
      <c r="H70" s="2">
        <v>733.301431195098</v>
      </c>
      <c r="I70" t="s">
        <v>22</v>
      </c>
    </row>
    <row r="71" spans="1:9">
      <c r="A71" t="s">
        <v>242</v>
      </c>
      <c r="B71" t="s">
        <v>243</v>
      </c>
      <c r="C71" t="s">
        <v>27</v>
      </c>
      <c r="D71" t="s">
        <v>51</v>
      </c>
      <c r="E71" s="1">
        <v>37263</v>
      </c>
      <c r="F71">
        <v>40</v>
      </c>
      <c r="G71" s="2">
        <v>24.2132465350738</v>
      </c>
      <c r="H71" s="2">
        <v>968.529861402952</v>
      </c>
      <c r="I71" t="s">
        <v>15</v>
      </c>
    </row>
    <row r="72" spans="1:9">
      <c r="A72" t="s">
        <v>244</v>
      </c>
      <c r="B72" t="s">
        <v>245</v>
      </c>
      <c r="C72" t="s">
        <v>36</v>
      </c>
      <c r="D72" t="s">
        <v>51</v>
      </c>
      <c r="E72" s="1">
        <v>38990</v>
      </c>
      <c r="F72">
        <v>40</v>
      </c>
      <c r="G72" s="2">
        <v>26.6733350813367</v>
      </c>
      <c r="H72" s="2">
        <v>1066.93340325347</v>
      </c>
      <c r="I72" t="s">
        <v>15</v>
      </c>
    </row>
    <row r="73" spans="1:9">
      <c r="A73" t="s">
        <v>246</v>
      </c>
      <c r="B73" t="s">
        <v>247</v>
      </c>
      <c r="C73" t="s">
        <v>36</v>
      </c>
      <c r="D73" t="s">
        <v>51</v>
      </c>
      <c r="E73" s="1">
        <v>38288</v>
      </c>
      <c r="F73">
        <v>40</v>
      </c>
      <c r="G73" s="2">
        <v>23.270898653239</v>
      </c>
      <c r="H73" s="2">
        <v>930.835946129561</v>
      </c>
      <c r="I73" t="s">
        <v>15</v>
      </c>
    </row>
    <row r="74" spans="1:9">
      <c r="A74" t="s">
        <v>248</v>
      </c>
      <c r="B74" t="s">
        <v>249</v>
      </c>
      <c r="C74" t="s">
        <v>27</v>
      </c>
      <c r="D74" t="s">
        <v>51</v>
      </c>
      <c r="E74" s="1">
        <v>39752</v>
      </c>
      <c r="F74">
        <v>40</v>
      </c>
      <c r="G74" s="2">
        <v>29.6126531698801</v>
      </c>
      <c r="H74" s="2">
        <v>1184.5061267952</v>
      </c>
      <c r="I74" t="s">
        <v>15</v>
      </c>
    </row>
    <row r="75" spans="1:9">
      <c r="A75" t="s">
        <v>250</v>
      </c>
      <c r="B75" t="s">
        <v>251</v>
      </c>
      <c r="C75" t="s">
        <v>20</v>
      </c>
      <c r="D75" t="s">
        <v>59</v>
      </c>
      <c r="E75" s="1">
        <v>38029</v>
      </c>
      <c r="F75">
        <v>25</v>
      </c>
      <c r="G75" s="2">
        <v>27.1249727517577</v>
      </c>
      <c r="H75" s="2">
        <v>678.124318793942</v>
      </c>
      <c r="I75" t="s">
        <v>22</v>
      </c>
    </row>
    <row r="76" spans="1:9">
      <c r="A76" t="s">
        <v>252</v>
      </c>
      <c r="B76" t="s">
        <v>253</v>
      </c>
      <c r="C76" t="s">
        <v>13</v>
      </c>
      <c r="D76" t="s">
        <v>51</v>
      </c>
      <c r="E76" s="1">
        <v>38990</v>
      </c>
      <c r="F76">
        <v>40</v>
      </c>
      <c r="G76" s="2">
        <v>20.55570522982</v>
      </c>
      <c r="H76" s="2">
        <v>822.2282091928</v>
      </c>
      <c r="I76" t="s">
        <v>15</v>
      </c>
    </row>
    <row r="77" spans="1:9">
      <c r="A77" t="s">
        <v>254</v>
      </c>
      <c r="B77" t="s">
        <v>255</v>
      </c>
      <c r="C77" t="s">
        <v>27</v>
      </c>
      <c r="D77" t="s">
        <v>51</v>
      </c>
      <c r="E77" s="1">
        <v>40139</v>
      </c>
      <c r="F77">
        <v>42</v>
      </c>
      <c r="G77" s="2">
        <v>23.7429467910733</v>
      </c>
      <c r="H77" s="2">
        <v>997.20376522508</v>
      </c>
      <c r="I77" t="s">
        <v>15</v>
      </c>
    </row>
    <row r="78" spans="1:9">
      <c r="A78" t="s">
        <v>256</v>
      </c>
      <c r="B78" t="s">
        <v>257</v>
      </c>
      <c r="C78" t="s">
        <v>13</v>
      </c>
      <c r="D78" t="s">
        <v>14</v>
      </c>
      <c r="E78" s="1">
        <v>39601</v>
      </c>
      <c r="F78">
        <v>25</v>
      </c>
      <c r="G78" s="2">
        <v>20.6563505176776</v>
      </c>
      <c r="H78" s="2">
        <v>516.40876294194</v>
      </c>
      <c r="I78" t="s">
        <v>22</v>
      </c>
    </row>
    <row r="79" spans="1:9">
      <c r="A79" t="s">
        <v>258</v>
      </c>
      <c r="B79" t="s">
        <v>259</v>
      </c>
      <c r="C79" t="s">
        <v>20</v>
      </c>
      <c r="D79" t="s">
        <v>21</v>
      </c>
      <c r="E79" s="1">
        <v>40035</v>
      </c>
      <c r="F79">
        <v>40</v>
      </c>
      <c r="G79" s="2">
        <v>24.7613808611318</v>
      </c>
      <c r="H79" s="2">
        <v>990.455234445274</v>
      </c>
      <c r="I79" t="s">
        <v>15</v>
      </c>
    </row>
    <row r="80" spans="1:9">
      <c r="A80" t="s">
        <v>260</v>
      </c>
      <c r="B80" t="s">
        <v>261</v>
      </c>
      <c r="C80" t="s">
        <v>27</v>
      </c>
      <c r="D80" t="s">
        <v>59</v>
      </c>
      <c r="E80" s="1">
        <v>40296</v>
      </c>
      <c r="F80">
        <v>42</v>
      </c>
      <c r="G80" s="2">
        <v>21.2089102328483</v>
      </c>
      <c r="H80" s="2">
        <v>890.774229779629</v>
      </c>
      <c r="I80" t="s">
        <v>15</v>
      </c>
    </row>
    <row r="81" spans="1:9">
      <c r="A81" t="s">
        <v>262</v>
      </c>
      <c r="B81" t="s">
        <v>263</v>
      </c>
      <c r="C81" t="s">
        <v>27</v>
      </c>
      <c r="D81" t="s">
        <v>14</v>
      </c>
      <c r="E81" s="1">
        <v>36953</v>
      </c>
      <c r="F81">
        <v>40</v>
      </c>
      <c r="G81" s="2">
        <v>29.6869323887969</v>
      </c>
      <c r="H81" s="2">
        <v>1187.47729555188</v>
      </c>
      <c r="I81" t="s">
        <v>15</v>
      </c>
    </row>
    <row r="82" spans="1:9">
      <c r="A82" t="s">
        <v>264</v>
      </c>
      <c r="B82" t="s">
        <v>265</v>
      </c>
      <c r="C82" t="s">
        <v>36</v>
      </c>
      <c r="D82" t="s">
        <v>14</v>
      </c>
      <c r="E82" s="1">
        <v>36948</v>
      </c>
      <c r="F82">
        <v>15.5</v>
      </c>
      <c r="G82" s="2">
        <v>27.0324725336245</v>
      </c>
      <c r="H82" s="2">
        <v>419.003324271179</v>
      </c>
      <c r="I82" t="s">
        <v>22</v>
      </c>
    </row>
    <row r="83" spans="1:9">
      <c r="A83" t="s">
        <v>266</v>
      </c>
      <c r="B83" t="s">
        <v>267</v>
      </c>
      <c r="C83" t="s">
        <v>27</v>
      </c>
      <c r="D83" t="s">
        <v>21</v>
      </c>
      <c r="E83" s="1">
        <v>40537</v>
      </c>
      <c r="F83">
        <v>40</v>
      </c>
      <c r="G83" s="2">
        <v>23.8393078808562</v>
      </c>
      <c r="H83" s="2">
        <v>953.572315234248</v>
      </c>
      <c r="I83" t="s">
        <v>15</v>
      </c>
    </row>
    <row r="84" spans="1:9">
      <c r="A84" t="s">
        <v>268</v>
      </c>
      <c r="B84" t="s">
        <v>269</v>
      </c>
      <c r="C84" t="s">
        <v>27</v>
      </c>
      <c r="D84" t="s">
        <v>21</v>
      </c>
      <c r="E84" s="1">
        <v>40692</v>
      </c>
      <c r="F84">
        <v>29.5</v>
      </c>
      <c r="G84" s="2">
        <v>26.1711140052097</v>
      </c>
      <c r="H84" s="2">
        <v>772.047863153687</v>
      </c>
      <c r="I84" t="s">
        <v>22</v>
      </c>
    </row>
    <row r="85" spans="1:9">
      <c r="A85" t="s">
        <v>270</v>
      </c>
      <c r="B85" t="s">
        <v>271</v>
      </c>
      <c r="C85" t="s">
        <v>27</v>
      </c>
      <c r="D85" t="s">
        <v>21</v>
      </c>
      <c r="E85" s="1">
        <v>38211</v>
      </c>
      <c r="F85">
        <v>29.5</v>
      </c>
      <c r="G85" s="2">
        <v>24.9382581014963</v>
      </c>
      <c r="H85" s="2">
        <v>735.67861399414</v>
      </c>
      <c r="I85" t="s">
        <v>22</v>
      </c>
    </row>
    <row r="86" spans="1:9">
      <c r="A86" t="s">
        <v>272</v>
      </c>
      <c r="B86" t="s">
        <v>273</v>
      </c>
      <c r="C86" t="s">
        <v>36</v>
      </c>
      <c r="D86" t="s">
        <v>21</v>
      </c>
      <c r="E86" s="1">
        <v>39435</v>
      </c>
      <c r="F86">
        <v>40</v>
      </c>
      <c r="G86" s="2">
        <v>21.9331419032506</v>
      </c>
      <c r="H86" s="2">
        <v>877.325676130023</v>
      </c>
      <c r="I86" t="s">
        <v>15</v>
      </c>
    </row>
    <row r="87" spans="1:9">
      <c r="A87" t="s">
        <v>274</v>
      </c>
      <c r="B87" t="s">
        <v>275</v>
      </c>
      <c r="C87" t="s">
        <v>36</v>
      </c>
      <c r="D87" t="s">
        <v>14</v>
      </c>
      <c r="E87" s="1">
        <v>40417</v>
      </c>
      <c r="F87">
        <v>15.5</v>
      </c>
      <c r="G87" s="2">
        <v>22.2269085765447</v>
      </c>
      <c r="H87" s="2">
        <v>344.517082936443</v>
      </c>
      <c r="I87" t="s">
        <v>22</v>
      </c>
    </row>
    <row r="88" spans="1:9">
      <c r="A88" t="s">
        <v>276</v>
      </c>
      <c r="B88" t="s">
        <v>277</v>
      </c>
      <c r="C88" t="s">
        <v>36</v>
      </c>
      <c r="D88" t="s">
        <v>21</v>
      </c>
      <c r="E88" s="1">
        <v>38880</v>
      </c>
      <c r="F88">
        <v>40</v>
      </c>
      <c r="G88" s="2">
        <v>28.5121956001453</v>
      </c>
      <c r="H88" s="2">
        <v>1140.48782400581</v>
      </c>
      <c r="I88" t="s">
        <v>15</v>
      </c>
    </row>
    <row r="89" spans="1:9">
      <c r="A89" t="s">
        <v>278</v>
      </c>
      <c r="B89" t="s">
        <v>279</v>
      </c>
      <c r="C89" t="s">
        <v>20</v>
      </c>
      <c r="D89" t="s">
        <v>59</v>
      </c>
      <c r="E89" s="1">
        <v>38084</v>
      </c>
      <c r="F89">
        <v>38</v>
      </c>
      <c r="G89" s="2">
        <v>26.1580386214767</v>
      </c>
      <c r="H89" s="2">
        <v>994.005467616114</v>
      </c>
      <c r="I89" t="s">
        <v>22</v>
      </c>
    </row>
    <row r="90" spans="1:9">
      <c r="A90" t="s">
        <v>280</v>
      </c>
      <c r="B90" t="s">
        <v>281</v>
      </c>
      <c r="C90" t="s">
        <v>20</v>
      </c>
      <c r="D90" t="s">
        <v>14</v>
      </c>
      <c r="E90" s="1">
        <v>37112</v>
      </c>
      <c r="F90">
        <v>38</v>
      </c>
      <c r="G90" s="2">
        <v>29.9674239695174</v>
      </c>
      <c r="H90" s="2">
        <v>1138.76211084166</v>
      </c>
      <c r="I90" t="s">
        <v>22</v>
      </c>
    </row>
    <row r="91" spans="1:9">
      <c r="A91" t="s">
        <v>282</v>
      </c>
      <c r="B91" t="s">
        <v>283</v>
      </c>
      <c r="C91" t="s">
        <v>27</v>
      </c>
      <c r="D91" t="s">
        <v>51</v>
      </c>
      <c r="E91" s="1">
        <v>37948</v>
      </c>
      <c r="F91">
        <v>40</v>
      </c>
      <c r="G91" s="2">
        <v>25.3452862696831</v>
      </c>
      <c r="H91" s="2">
        <v>1013.81145078732</v>
      </c>
      <c r="I91" t="s">
        <v>15</v>
      </c>
    </row>
    <row r="92" spans="1:9">
      <c r="A92" t="s">
        <v>284</v>
      </c>
      <c r="B92" t="s">
        <v>285</v>
      </c>
      <c r="C92" t="s">
        <v>36</v>
      </c>
      <c r="D92" t="s">
        <v>14</v>
      </c>
      <c r="E92" s="1">
        <v>39059</v>
      </c>
      <c r="F92">
        <v>40</v>
      </c>
      <c r="G92" s="2">
        <v>25.6019372294119</v>
      </c>
      <c r="H92" s="2">
        <v>1024.07748917648</v>
      </c>
      <c r="I92" t="s">
        <v>15</v>
      </c>
    </row>
    <row r="93" spans="1:9">
      <c r="A93" t="s">
        <v>286</v>
      </c>
      <c r="B93" t="s">
        <v>287</v>
      </c>
      <c r="C93" t="s">
        <v>20</v>
      </c>
      <c r="D93" t="s">
        <v>14</v>
      </c>
      <c r="E93" s="1">
        <v>38533</v>
      </c>
      <c r="F93">
        <v>35.5</v>
      </c>
      <c r="G93" s="2">
        <v>23.9214244689799</v>
      </c>
      <c r="H93" s="2">
        <v>849.210568648788</v>
      </c>
      <c r="I93" t="s">
        <v>22</v>
      </c>
    </row>
    <row r="94" spans="1:9">
      <c r="A94" t="s">
        <v>288</v>
      </c>
      <c r="B94" t="s">
        <v>289</v>
      </c>
      <c r="C94" t="s">
        <v>36</v>
      </c>
      <c r="D94" t="s">
        <v>59</v>
      </c>
      <c r="E94" s="1">
        <v>38744</v>
      </c>
      <c r="F94">
        <v>35</v>
      </c>
      <c r="G94" s="2">
        <v>20.3208991153415</v>
      </c>
      <c r="H94" s="2">
        <v>711.231469036951</v>
      </c>
      <c r="I94" t="s">
        <v>22</v>
      </c>
    </row>
    <row r="95" spans="1:9">
      <c r="A95" t="s">
        <v>290</v>
      </c>
      <c r="B95" t="s">
        <v>291</v>
      </c>
      <c r="C95" t="s">
        <v>20</v>
      </c>
      <c r="D95" t="s">
        <v>59</v>
      </c>
      <c r="E95" s="1">
        <v>40119</v>
      </c>
      <c r="F95">
        <v>35</v>
      </c>
      <c r="G95" s="2">
        <v>27.5256373926534</v>
      </c>
      <c r="H95" s="2">
        <v>963.397308742868</v>
      </c>
      <c r="I95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workbookViewId="0">
      <selection activeCell="D1" sqref="D1"/>
    </sheetView>
  </sheetViews>
  <sheetFormatPr defaultColWidth="8.88888888888889" defaultRowHeight="14.4"/>
  <sheetData>
    <row r="1" ht="15.6" spans="1:1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N1" s="3" t="s">
        <v>40</v>
      </c>
    </row>
    <row r="2" spans="1:14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  <c r="N2" s="7" t="s">
        <v>44</v>
      </c>
    </row>
    <row r="3" spans="1:9">
      <c r="A3" t="s">
        <v>18</v>
      </c>
      <c r="B3" t="s">
        <v>19</v>
      </c>
      <c r="C3" t="s">
        <v>20</v>
      </c>
      <c r="D3" t="s">
        <v>21</v>
      </c>
      <c r="E3" s="1">
        <v>40574</v>
      </c>
      <c r="F3">
        <v>35</v>
      </c>
      <c r="G3" s="2">
        <v>27.7308540634317</v>
      </c>
      <c r="H3" s="2">
        <v>970.57989222011</v>
      </c>
      <c r="I3" t="s">
        <v>22</v>
      </c>
    </row>
    <row r="4" spans="1:9">
      <c r="A4" t="s">
        <v>25</v>
      </c>
      <c r="B4" t="s">
        <v>26</v>
      </c>
      <c r="C4" t="s">
        <v>27</v>
      </c>
      <c r="D4" t="s">
        <v>14</v>
      </c>
      <c r="E4" s="1">
        <v>39089</v>
      </c>
      <c r="F4">
        <v>42</v>
      </c>
      <c r="G4" s="2">
        <v>23.2385457007659</v>
      </c>
      <c r="H4" s="2">
        <v>976.018919432168</v>
      </c>
      <c r="I4" t="s">
        <v>15</v>
      </c>
    </row>
    <row r="5" spans="1:9">
      <c r="A5" t="s">
        <v>30</v>
      </c>
      <c r="B5" t="s">
        <v>31</v>
      </c>
      <c r="C5" t="s">
        <v>20</v>
      </c>
      <c r="D5" t="s">
        <v>14</v>
      </c>
      <c r="E5" s="1">
        <v>40095</v>
      </c>
      <c r="F5">
        <v>40</v>
      </c>
      <c r="G5" s="2">
        <v>29.6040358356933</v>
      </c>
      <c r="H5" s="2">
        <v>1184.16143342773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14</v>
      </c>
      <c r="E6" s="1">
        <v>38863</v>
      </c>
      <c r="F6">
        <v>40</v>
      </c>
      <c r="G6" s="2">
        <v>20.2945957445476</v>
      </c>
      <c r="H6" s="2">
        <v>811.783829781904</v>
      </c>
      <c r="I6" t="s">
        <v>15</v>
      </c>
    </row>
    <row r="7" spans="1:9">
      <c r="A7" t="s">
        <v>38</v>
      </c>
      <c r="B7" t="s">
        <v>39</v>
      </c>
      <c r="C7" t="s">
        <v>27</v>
      </c>
      <c r="D7" t="s">
        <v>21</v>
      </c>
      <c r="E7" s="1">
        <v>39329</v>
      </c>
      <c r="F7">
        <v>29.5</v>
      </c>
      <c r="G7" s="2">
        <v>22.5040616496157</v>
      </c>
      <c r="H7" s="2">
        <v>663.869818663664</v>
      </c>
      <c r="I7" t="s">
        <v>22</v>
      </c>
    </row>
    <row r="8" spans="1:9">
      <c r="A8" t="s">
        <v>42</v>
      </c>
      <c r="B8" t="s">
        <v>43</v>
      </c>
      <c r="C8" t="s">
        <v>27</v>
      </c>
      <c r="D8" t="s">
        <v>14</v>
      </c>
      <c r="E8" s="1">
        <v>38372</v>
      </c>
      <c r="F8">
        <v>35.5</v>
      </c>
      <c r="G8" s="2">
        <v>23.7146915473977</v>
      </c>
      <c r="H8" s="2">
        <v>841.87154993262</v>
      </c>
      <c r="I8" t="s">
        <v>22</v>
      </c>
    </row>
    <row r="9" spans="1:9">
      <c r="A9" t="s">
        <v>46</v>
      </c>
      <c r="B9" t="s">
        <v>47</v>
      </c>
      <c r="C9" t="s">
        <v>27</v>
      </c>
      <c r="D9" t="s">
        <v>21</v>
      </c>
      <c r="E9" s="1">
        <v>37721</v>
      </c>
      <c r="F9">
        <v>40</v>
      </c>
      <c r="G9" s="2">
        <v>24.6342558337354</v>
      </c>
      <c r="H9" s="2">
        <v>985.370233349417</v>
      </c>
      <c r="I9" t="s">
        <v>15</v>
      </c>
    </row>
    <row r="10" spans="1:9">
      <c r="A10" t="s">
        <v>49</v>
      </c>
      <c r="B10" t="s">
        <v>50</v>
      </c>
      <c r="C10" t="s">
        <v>36</v>
      </c>
      <c r="D10" t="s">
        <v>51</v>
      </c>
      <c r="E10" s="1">
        <v>38014</v>
      </c>
      <c r="F10">
        <v>40</v>
      </c>
      <c r="G10" s="2">
        <v>24.0625161257531</v>
      </c>
      <c r="H10" s="2">
        <v>962.500645030123</v>
      </c>
      <c r="I10" t="s">
        <v>15</v>
      </c>
    </row>
    <row r="11" spans="1:9">
      <c r="A11" t="s">
        <v>54</v>
      </c>
      <c r="B11" t="s">
        <v>55</v>
      </c>
      <c r="C11" t="s">
        <v>27</v>
      </c>
      <c r="D11" t="s">
        <v>14</v>
      </c>
      <c r="E11" s="1">
        <v>39406</v>
      </c>
      <c r="F11">
        <v>35.5</v>
      </c>
      <c r="G11" s="2">
        <v>22.4745266505368</v>
      </c>
      <c r="H11" s="2">
        <v>797.845696094057</v>
      </c>
      <c r="I11" t="s">
        <v>22</v>
      </c>
    </row>
    <row r="12" spans="1:9">
      <c r="A12" t="s">
        <v>57</v>
      </c>
      <c r="B12" t="s">
        <v>58</v>
      </c>
      <c r="C12" t="s">
        <v>36</v>
      </c>
      <c r="D12" t="s">
        <v>59</v>
      </c>
      <c r="E12" s="1">
        <v>40636</v>
      </c>
      <c r="F12">
        <v>40</v>
      </c>
      <c r="G12" s="2">
        <v>26.2274469754406</v>
      </c>
      <c r="H12" s="2">
        <v>1049.09787901763</v>
      </c>
      <c r="I12" t="s">
        <v>15</v>
      </c>
    </row>
    <row r="13" spans="1:9">
      <c r="A13" t="s">
        <v>62</v>
      </c>
      <c r="B13" t="s">
        <v>63</v>
      </c>
      <c r="C13" t="s">
        <v>36</v>
      </c>
      <c r="D13" t="s">
        <v>59</v>
      </c>
      <c r="E13" s="1">
        <v>37299</v>
      </c>
      <c r="F13">
        <v>40</v>
      </c>
      <c r="G13" s="2">
        <v>20.4595521381667</v>
      </c>
      <c r="H13" s="2">
        <v>818.382085526669</v>
      </c>
      <c r="I13" t="s">
        <v>15</v>
      </c>
    </row>
    <row r="14" spans="1:9">
      <c r="A14" t="s">
        <v>65</v>
      </c>
      <c r="B14" t="s">
        <v>66</v>
      </c>
      <c r="C14" t="s">
        <v>36</v>
      </c>
      <c r="D14" t="s">
        <v>14</v>
      </c>
      <c r="E14" s="1">
        <v>39601</v>
      </c>
      <c r="F14">
        <v>40</v>
      </c>
      <c r="G14" s="2">
        <v>20.3846080101342</v>
      </c>
      <c r="H14" s="2">
        <v>815.384320405368</v>
      </c>
      <c r="I14" t="s">
        <v>15</v>
      </c>
    </row>
    <row r="15" spans="1:9">
      <c r="A15" t="s">
        <v>69</v>
      </c>
      <c r="B15" t="s">
        <v>70</v>
      </c>
      <c r="C15" t="s">
        <v>36</v>
      </c>
      <c r="D15" t="s">
        <v>59</v>
      </c>
      <c r="E15" s="1">
        <v>39051</v>
      </c>
      <c r="F15">
        <v>15.5</v>
      </c>
      <c r="G15" s="2">
        <v>23.8590814253866</v>
      </c>
      <c r="H15" s="2">
        <v>369.815762093492</v>
      </c>
      <c r="I15" t="s">
        <v>22</v>
      </c>
    </row>
    <row r="16" spans="1:9">
      <c r="A16" t="s">
        <v>72</v>
      </c>
      <c r="B16" t="s">
        <v>73</v>
      </c>
      <c r="C16" t="s">
        <v>13</v>
      </c>
      <c r="D16" t="s">
        <v>59</v>
      </c>
      <c r="E16" s="1">
        <v>39223</v>
      </c>
      <c r="F16">
        <v>38</v>
      </c>
      <c r="G16" s="2">
        <v>26.2234936764226</v>
      </c>
      <c r="H16" s="2">
        <v>996.49275970406</v>
      </c>
      <c r="I16" t="s">
        <v>22</v>
      </c>
    </row>
    <row r="17" spans="1:9">
      <c r="A17" t="s">
        <v>76</v>
      </c>
      <c r="B17" t="s">
        <v>77</v>
      </c>
      <c r="C17" t="s">
        <v>20</v>
      </c>
      <c r="D17" t="s">
        <v>59</v>
      </c>
      <c r="E17" s="1">
        <v>39259</v>
      </c>
      <c r="F17">
        <v>40</v>
      </c>
      <c r="G17" s="2">
        <v>24.122312108731</v>
      </c>
      <c r="H17" s="2">
        <v>964.89248434924</v>
      </c>
      <c r="I17" t="s">
        <v>15</v>
      </c>
    </row>
    <row r="18" spans="1:9">
      <c r="A18" t="s">
        <v>80</v>
      </c>
      <c r="B18" t="s">
        <v>81</v>
      </c>
      <c r="C18" t="s">
        <v>27</v>
      </c>
      <c r="D18" t="s">
        <v>14</v>
      </c>
      <c r="E18" s="1">
        <v>40108</v>
      </c>
      <c r="F18">
        <v>40</v>
      </c>
      <c r="G18" s="2">
        <v>27.4278911367849</v>
      </c>
      <c r="H18" s="2">
        <v>1097.11564547139</v>
      </c>
      <c r="I18" t="s">
        <v>15</v>
      </c>
    </row>
    <row r="19" spans="1:9">
      <c r="A19" t="s">
        <v>84</v>
      </c>
      <c r="B19" t="s">
        <v>85</v>
      </c>
      <c r="C19" t="s">
        <v>13</v>
      </c>
      <c r="D19" t="s">
        <v>14</v>
      </c>
      <c r="E19" s="1">
        <v>39865</v>
      </c>
      <c r="F19">
        <v>35</v>
      </c>
      <c r="G19" s="2">
        <v>24.9864365543203</v>
      </c>
      <c r="H19" s="2">
        <v>874.525279401211</v>
      </c>
      <c r="I19" t="s">
        <v>22</v>
      </c>
    </row>
    <row r="20" spans="1:9">
      <c r="A20" t="s">
        <v>88</v>
      </c>
      <c r="B20" t="s">
        <v>89</v>
      </c>
      <c r="C20" t="s">
        <v>36</v>
      </c>
      <c r="D20" t="s">
        <v>51</v>
      </c>
      <c r="E20" s="1">
        <v>38551</v>
      </c>
      <c r="F20">
        <v>40</v>
      </c>
      <c r="G20" s="2">
        <v>28.1837716768448</v>
      </c>
      <c r="H20" s="2">
        <v>1127.35086707379</v>
      </c>
      <c r="I20" t="s">
        <v>15</v>
      </c>
    </row>
    <row r="21" spans="1:9">
      <c r="A21" t="s">
        <v>92</v>
      </c>
      <c r="B21" t="s">
        <v>93</v>
      </c>
      <c r="C21" t="s">
        <v>20</v>
      </c>
      <c r="D21" t="s">
        <v>21</v>
      </c>
      <c r="E21" s="1">
        <v>38202</v>
      </c>
      <c r="F21">
        <v>35.5</v>
      </c>
      <c r="G21" s="2">
        <v>23.5513467037949</v>
      </c>
      <c r="H21" s="2">
        <v>836.072807984721</v>
      </c>
      <c r="I21" t="s">
        <v>22</v>
      </c>
    </row>
    <row r="22" spans="1:9">
      <c r="A22" t="s">
        <v>96</v>
      </c>
      <c r="B22" t="s">
        <v>97</v>
      </c>
      <c r="C22" t="s">
        <v>20</v>
      </c>
      <c r="D22" t="s">
        <v>21</v>
      </c>
      <c r="E22" s="1">
        <v>39385</v>
      </c>
      <c r="F22">
        <v>38</v>
      </c>
      <c r="G22" s="2">
        <v>21.527759251738</v>
      </c>
      <c r="H22" s="2">
        <v>818.054851566046</v>
      </c>
      <c r="I22" t="s">
        <v>22</v>
      </c>
    </row>
    <row r="23" spans="1:9">
      <c r="A23" t="s">
        <v>100</v>
      </c>
      <c r="B23" t="s">
        <v>101</v>
      </c>
      <c r="C23" t="s">
        <v>20</v>
      </c>
      <c r="D23" t="s">
        <v>21</v>
      </c>
      <c r="E23" s="1">
        <v>37877</v>
      </c>
      <c r="F23">
        <v>40</v>
      </c>
      <c r="G23" s="2">
        <v>29.435165359699</v>
      </c>
      <c r="H23" s="2">
        <v>1177.40661438796</v>
      </c>
      <c r="I23" t="s">
        <v>15</v>
      </c>
    </row>
    <row r="24" spans="1:9">
      <c r="A24" t="s">
        <v>104</v>
      </c>
      <c r="B24" t="s">
        <v>105</v>
      </c>
      <c r="C24" t="s">
        <v>20</v>
      </c>
      <c r="D24" t="s">
        <v>21</v>
      </c>
      <c r="E24" s="1">
        <v>37779</v>
      </c>
      <c r="F24">
        <v>40</v>
      </c>
      <c r="G24" s="2">
        <v>28.5585427782549</v>
      </c>
      <c r="H24" s="2">
        <v>1142.3417111302</v>
      </c>
      <c r="I24" t="s">
        <v>15</v>
      </c>
    </row>
    <row r="25" spans="1:9">
      <c r="A25" t="s">
        <v>108</v>
      </c>
      <c r="B25" t="s">
        <v>109</v>
      </c>
      <c r="C25" t="s">
        <v>13</v>
      </c>
      <c r="D25" t="s">
        <v>21</v>
      </c>
      <c r="E25" s="1">
        <v>40611</v>
      </c>
      <c r="F25">
        <v>35</v>
      </c>
      <c r="G25" s="2">
        <v>21.3408234410477</v>
      </c>
      <c r="H25" s="2">
        <v>746.928820436669</v>
      </c>
      <c r="I25" t="s">
        <v>22</v>
      </c>
    </row>
    <row r="26" spans="1:9">
      <c r="A26" t="s">
        <v>112</v>
      </c>
      <c r="B26" t="s">
        <v>113</v>
      </c>
      <c r="C26" t="s">
        <v>13</v>
      </c>
      <c r="D26" t="s">
        <v>21</v>
      </c>
      <c r="E26" s="1">
        <v>38808</v>
      </c>
      <c r="F26">
        <v>25</v>
      </c>
      <c r="G26" s="2">
        <v>26.7983252095194</v>
      </c>
      <c r="H26" s="2">
        <v>669.958130237985</v>
      </c>
      <c r="I26" t="s">
        <v>22</v>
      </c>
    </row>
    <row r="27" spans="1:9">
      <c r="A27" t="s">
        <v>116</v>
      </c>
      <c r="B27" t="s">
        <v>117</v>
      </c>
      <c r="C27" t="s">
        <v>20</v>
      </c>
      <c r="D27" t="s">
        <v>21</v>
      </c>
      <c r="E27" s="1">
        <v>39807</v>
      </c>
      <c r="F27">
        <v>32</v>
      </c>
      <c r="G27" s="2">
        <v>29.9348706756959</v>
      </c>
      <c r="H27" s="2">
        <v>957.915861622268</v>
      </c>
      <c r="I27" t="s">
        <v>22</v>
      </c>
    </row>
    <row r="28" spans="1:9">
      <c r="A28" t="s">
        <v>120</v>
      </c>
      <c r="B28" t="s">
        <v>121</v>
      </c>
      <c r="C28" t="s">
        <v>20</v>
      </c>
      <c r="D28" t="s">
        <v>51</v>
      </c>
      <c r="E28" s="1">
        <v>39233</v>
      </c>
      <c r="F28">
        <v>35</v>
      </c>
      <c r="G28" s="2">
        <v>22.5344105761657</v>
      </c>
      <c r="H28" s="2">
        <v>788.704370165799</v>
      </c>
      <c r="I28" t="s">
        <v>22</v>
      </c>
    </row>
    <row r="29" spans="1:9">
      <c r="A29" t="s">
        <v>124</v>
      </c>
      <c r="B29" t="s">
        <v>125</v>
      </c>
      <c r="C29" t="s">
        <v>20</v>
      </c>
      <c r="D29" t="s">
        <v>59</v>
      </c>
      <c r="E29" s="1">
        <v>40155</v>
      </c>
      <c r="F29">
        <v>25</v>
      </c>
      <c r="G29" s="2">
        <v>22.0288511044065</v>
      </c>
      <c r="H29" s="2">
        <v>550.721277610162</v>
      </c>
      <c r="I29" t="s">
        <v>22</v>
      </c>
    </row>
    <row r="30" spans="1:9">
      <c r="A30" t="s">
        <v>128</v>
      </c>
      <c r="B30" t="s">
        <v>129</v>
      </c>
      <c r="C30" t="s">
        <v>20</v>
      </c>
      <c r="D30" t="s">
        <v>51</v>
      </c>
      <c r="E30" s="1">
        <v>38263</v>
      </c>
      <c r="F30">
        <v>40</v>
      </c>
      <c r="G30" s="2">
        <v>22.224435083452</v>
      </c>
      <c r="H30" s="2">
        <v>888.977403338081</v>
      </c>
      <c r="I30" t="s">
        <v>15</v>
      </c>
    </row>
    <row r="31" spans="1:9">
      <c r="A31" t="s">
        <v>132</v>
      </c>
      <c r="B31" t="s">
        <v>133</v>
      </c>
      <c r="C31" t="s">
        <v>27</v>
      </c>
      <c r="D31" t="s">
        <v>14</v>
      </c>
      <c r="E31" s="1">
        <v>39414</v>
      </c>
      <c r="F31">
        <v>35.5</v>
      </c>
      <c r="G31" s="2">
        <v>24.0440594640406</v>
      </c>
      <c r="H31" s="2">
        <v>853.56411097344</v>
      </c>
      <c r="I31" t="s">
        <v>22</v>
      </c>
    </row>
    <row r="32" spans="1:9">
      <c r="A32" t="s">
        <v>136</v>
      </c>
      <c r="B32" t="s">
        <v>137</v>
      </c>
      <c r="C32" t="s">
        <v>27</v>
      </c>
      <c r="D32" t="s">
        <v>21</v>
      </c>
      <c r="E32" s="1">
        <v>39831</v>
      </c>
      <c r="F32">
        <v>29.5</v>
      </c>
      <c r="G32" s="2">
        <v>27.9270088695213</v>
      </c>
      <c r="H32" s="2">
        <v>823.846761650878</v>
      </c>
      <c r="I32" t="s">
        <v>22</v>
      </c>
    </row>
    <row r="33" spans="1:9">
      <c r="A33" t="s">
        <v>140</v>
      </c>
      <c r="B33" t="s">
        <v>141</v>
      </c>
      <c r="C33" t="s">
        <v>13</v>
      </c>
      <c r="D33" t="s">
        <v>59</v>
      </c>
      <c r="E33" s="1">
        <v>38474</v>
      </c>
      <c r="F33">
        <v>40</v>
      </c>
      <c r="G33" s="2">
        <v>25.3218774491568</v>
      </c>
      <c r="H33" s="2">
        <v>1012.87509796627</v>
      </c>
      <c r="I33" t="s">
        <v>15</v>
      </c>
    </row>
    <row r="34" spans="1:9">
      <c r="A34" t="s">
        <v>144</v>
      </c>
      <c r="B34" t="s">
        <v>145</v>
      </c>
      <c r="C34" t="s">
        <v>13</v>
      </c>
      <c r="D34" t="s">
        <v>59</v>
      </c>
      <c r="E34" s="1">
        <v>40205</v>
      </c>
      <c r="F34">
        <v>35.5</v>
      </c>
      <c r="G34" s="2">
        <v>22.0416278412084</v>
      </c>
      <c r="H34" s="2">
        <v>782.477788362898</v>
      </c>
      <c r="I34" t="s">
        <v>22</v>
      </c>
    </row>
    <row r="35" spans="1:9">
      <c r="A35" t="s">
        <v>148</v>
      </c>
      <c r="B35" t="s">
        <v>149</v>
      </c>
      <c r="C35" t="s">
        <v>20</v>
      </c>
      <c r="D35" t="s">
        <v>59</v>
      </c>
      <c r="E35" s="1">
        <v>39053</v>
      </c>
      <c r="F35">
        <v>32</v>
      </c>
      <c r="G35" s="2">
        <v>20.9360592580624</v>
      </c>
      <c r="H35" s="2">
        <v>669.953896257996</v>
      </c>
      <c r="I35" t="s">
        <v>22</v>
      </c>
    </row>
    <row r="36" spans="1:9">
      <c r="A36" t="s">
        <v>152</v>
      </c>
      <c r="B36" t="s">
        <v>153</v>
      </c>
      <c r="C36" t="s">
        <v>27</v>
      </c>
      <c r="D36" t="s">
        <v>14</v>
      </c>
      <c r="E36" s="1">
        <v>38914</v>
      </c>
      <c r="F36">
        <v>35.5</v>
      </c>
      <c r="G36" s="2">
        <v>23.7804724680972</v>
      </c>
      <c r="H36" s="2">
        <v>844.206772617451</v>
      </c>
      <c r="I36" t="s">
        <v>22</v>
      </c>
    </row>
    <row r="37" spans="1:9">
      <c r="A37" t="s">
        <v>156</v>
      </c>
      <c r="B37" t="s">
        <v>157</v>
      </c>
      <c r="C37" t="s">
        <v>20</v>
      </c>
      <c r="D37" t="s">
        <v>59</v>
      </c>
      <c r="E37" s="1">
        <v>38727</v>
      </c>
      <c r="F37">
        <v>35</v>
      </c>
      <c r="G37" s="2">
        <v>26.870973454107</v>
      </c>
      <c r="H37" s="2">
        <v>940.484070893745</v>
      </c>
      <c r="I37" t="s">
        <v>22</v>
      </c>
    </row>
    <row r="38" spans="1:9">
      <c r="A38" t="s">
        <v>160</v>
      </c>
      <c r="B38" t="s">
        <v>161</v>
      </c>
      <c r="C38" t="s">
        <v>27</v>
      </c>
      <c r="D38" t="s">
        <v>14</v>
      </c>
      <c r="E38" s="1">
        <v>38659</v>
      </c>
      <c r="F38">
        <v>40</v>
      </c>
      <c r="G38" s="2">
        <v>28.0351807192208</v>
      </c>
      <c r="H38" s="2">
        <v>1121.40722876883</v>
      </c>
      <c r="I38" t="s">
        <v>15</v>
      </c>
    </row>
    <row r="39" spans="1:9">
      <c r="A39" t="s">
        <v>164</v>
      </c>
      <c r="B39" t="s">
        <v>165</v>
      </c>
      <c r="C39" t="s">
        <v>20</v>
      </c>
      <c r="D39" t="s">
        <v>51</v>
      </c>
      <c r="E39" s="1">
        <v>39430</v>
      </c>
      <c r="F39">
        <v>40</v>
      </c>
      <c r="G39" s="2">
        <v>22.0025822256507</v>
      </c>
      <c r="H39" s="2">
        <v>880.10328902603</v>
      </c>
      <c r="I39" t="s">
        <v>15</v>
      </c>
    </row>
    <row r="40" spans="1:9">
      <c r="A40" t="s">
        <v>168</v>
      </c>
      <c r="B40" t="s">
        <v>169</v>
      </c>
      <c r="C40" t="s">
        <v>20</v>
      </c>
      <c r="D40" t="s">
        <v>14</v>
      </c>
      <c r="E40" s="1">
        <v>38026</v>
      </c>
      <c r="F40">
        <v>40</v>
      </c>
      <c r="G40" s="2">
        <v>24.209926541516</v>
      </c>
      <c r="H40" s="2">
        <v>968.397061660642</v>
      </c>
      <c r="I40" t="s">
        <v>15</v>
      </c>
    </row>
    <row r="41" spans="1:9">
      <c r="A41" t="s">
        <v>172</v>
      </c>
      <c r="B41" t="s">
        <v>173</v>
      </c>
      <c r="C41" t="s">
        <v>20</v>
      </c>
      <c r="D41" t="s">
        <v>51</v>
      </c>
      <c r="E41" s="1">
        <v>39575</v>
      </c>
      <c r="F41">
        <v>40</v>
      </c>
      <c r="G41" s="2">
        <v>26.4166446930878</v>
      </c>
      <c r="H41" s="2">
        <v>1056.66578772351</v>
      </c>
      <c r="I41" t="s">
        <v>15</v>
      </c>
    </row>
    <row r="42" spans="1:9">
      <c r="A42" t="s">
        <v>176</v>
      </c>
      <c r="B42" t="s">
        <v>177</v>
      </c>
      <c r="C42" t="s">
        <v>27</v>
      </c>
      <c r="D42" t="s">
        <v>59</v>
      </c>
      <c r="E42" s="1">
        <v>38989</v>
      </c>
      <c r="F42">
        <v>40</v>
      </c>
      <c r="G42" s="2">
        <v>26.1563408101695</v>
      </c>
      <c r="H42" s="2">
        <v>1046.25363240678</v>
      </c>
      <c r="I42" t="s">
        <v>15</v>
      </c>
    </row>
    <row r="43" spans="1:9">
      <c r="A43" t="s">
        <v>180</v>
      </c>
      <c r="B43" t="s">
        <v>181</v>
      </c>
      <c r="C43" t="s">
        <v>27</v>
      </c>
      <c r="D43" t="s">
        <v>59</v>
      </c>
      <c r="E43" s="1">
        <v>40127</v>
      </c>
      <c r="F43">
        <v>40</v>
      </c>
      <c r="G43" s="2">
        <v>28.8001607672559</v>
      </c>
      <c r="H43" s="2">
        <v>1152.00643069023</v>
      </c>
      <c r="I43" t="s">
        <v>15</v>
      </c>
    </row>
    <row r="44" spans="1:9">
      <c r="A44" t="s">
        <v>184</v>
      </c>
      <c r="B44" t="s">
        <v>185</v>
      </c>
      <c r="C44" t="s">
        <v>27</v>
      </c>
      <c r="D44" t="s">
        <v>14</v>
      </c>
      <c r="E44" s="1">
        <v>39070</v>
      </c>
      <c r="F44">
        <v>35.5</v>
      </c>
      <c r="G44" s="2">
        <v>24.7005037048751</v>
      </c>
      <c r="H44" s="2">
        <v>876.867881523066</v>
      </c>
      <c r="I44" t="s">
        <v>22</v>
      </c>
    </row>
    <row r="45" spans="1:9">
      <c r="A45" t="s">
        <v>187</v>
      </c>
      <c r="B45" t="s">
        <v>188</v>
      </c>
      <c r="C45" t="s">
        <v>36</v>
      </c>
      <c r="D45" t="s">
        <v>21</v>
      </c>
      <c r="E45" s="1">
        <v>39251</v>
      </c>
      <c r="F45">
        <v>40</v>
      </c>
      <c r="G45" s="2">
        <v>24.7208809045488</v>
      </c>
      <c r="H45" s="2">
        <v>988.835236181952</v>
      </c>
      <c r="I45" t="s">
        <v>15</v>
      </c>
    </row>
    <row r="46" spans="1:9">
      <c r="A46" t="s">
        <v>190</v>
      </c>
      <c r="B46" t="s">
        <v>191</v>
      </c>
      <c r="C46" t="s">
        <v>36</v>
      </c>
      <c r="D46" t="s">
        <v>14</v>
      </c>
      <c r="E46" s="1">
        <v>39925</v>
      </c>
      <c r="F46">
        <v>15.5</v>
      </c>
      <c r="G46" s="2">
        <v>22.0461359567629</v>
      </c>
      <c r="H46" s="2">
        <v>341.715107329824</v>
      </c>
      <c r="I46" t="s">
        <v>22</v>
      </c>
    </row>
    <row r="47" spans="1:9">
      <c r="A47" t="s">
        <v>193</v>
      </c>
      <c r="B47" t="s">
        <v>194</v>
      </c>
      <c r="C47" t="s">
        <v>20</v>
      </c>
      <c r="D47" t="s">
        <v>59</v>
      </c>
      <c r="E47" s="1">
        <v>39226</v>
      </c>
      <c r="F47">
        <v>25</v>
      </c>
      <c r="G47" s="2">
        <v>29.0167556854929</v>
      </c>
      <c r="H47" s="2">
        <v>725.418892137322</v>
      </c>
      <c r="I47" t="s">
        <v>22</v>
      </c>
    </row>
    <row r="48" spans="1:9">
      <c r="A48" t="s">
        <v>196</v>
      </c>
      <c r="B48" t="s">
        <v>197</v>
      </c>
      <c r="C48" t="s">
        <v>36</v>
      </c>
      <c r="D48" t="s">
        <v>14</v>
      </c>
      <c r="E48" s="1">
        <v>40561</v>
      </c>
      <c r="F48">
        <v>40</v>
      </c>
      <c r="G48" s="2">
        <v>27.3588677466791</v>
      </c>
      <c r="H48" s="2">
        <v>1094.35470986716</v>
      </c>
      <c r="I48" t="s">
        <v>15</v>
      </c>
    </row>
    <row r="49" spans="1:9">
      <c r="A49" t="s">
        <v>198</v>
      </c>
      <c r="B49" t="s">
        <v>199</v>
      </c>
      <c r="C49" t="s">
        <v>36</v>
      </c>
      <c r="D49" t="s">
        <v>14</v>
      </c>
      <c r="E49" s="1">
        <v>38080</v>
      </c>
      <c r="F49">
        <v>40</v>
      </c>
      <c r="G49" s="2">
        <v>23.5591787626696</v>
      </c>
      <c r="H49" s="2">
        <v>942.367150506783</v>
      </c>
      <c r="I49" t="s">
        <v>15</v>
      </c>
    </row>
    <row r="50" spans="1:9">
      <c r="A50" t="s">
        <v>200</v>
      </c>
      <c r="B50" t="s">
        <v>201</v>
      </c>
      <c r="C50" t="s">
        <v>13</v>
      </c>
      <c r="D50" t="s">
        <v>59</v>
      </c>
      <c r="E50" s="1">
        <v>37784</v>
      </c>
      <c r="F50">
        <v>38</v>
      </c>
      <c r="G50" s="2">
        <v>25.8959240312466</v>
      </c>
      <c r="H50" s="2">
        <v>984.04511318737</v>
      </c>
      <c r="I50" t="s">
        <v>22</v>
      </c>
    </row>
    <row r="51" spans="1:9">
      <c r="A51" t="s">
        <v>202</v>
      </c>
      <c r="B51" t="s">
        <v>203</v>
      </c>
      <c r="C51" t="s">
        <v>20</v>
      </c>
      <c r="D51" t="s">
        <v>51</v>
      </c>
      <c r="E51" s="1">
        <v>40135</v>
      </c>
      <c r="F51">
        <v>40</v>
      </c>
      <c r="G51" s="2">
        <v>23.7440482448647</v>
      </c>
      <c r="H51" s="2">
        <v>949.761929794589</v>
      </c>
      <c r="I51" t="s">
        <v>15</v>
      </c>
    </row>
    <row r="52" spans="1:9">
      <c r="A52" t="s">
        <v>204</v>
      </c>
      <c r="B52" t="s">
        <v>205</v>
      </c>
      <c r="C52" t="s">
        <v>20</v>
      </c>
      <c r="D52" t="s">
        <v>59</v>
      </c>
      <c r="E52" s="1">
        <v>38851</v>
      </c>
      <c r="F52">
        <v>40</v>
      </c>
      <c r="G52" s="2">
        <v>22.1172203389426</v>
      </c>
      <c r="H52" s="2">
        <v>884.688813557704</v>
      </c>
      <c r="I52" t="s">
        <v>15</v>
      </c>
    </row>
    <row r="53" spans="1:9">
      <c r="A53" t="s">
        <v>206</v>
      </c>
      <c r="B53" t="s">
        <v>207</v>
      </c>
      <c r="C53" t="s">
        <v>20</v>
      </c>
      <c r="D53" t="s">
        <v>21</v>
      </c>
      <c r="E53" s="1">
        <v>38995</v>
      </c>
      <c r="F53">
        <v>40</v>
      </c>
      <c r="G53" s="2">
        <v>28.5041873925272</v>
      </c>
      <c r="H53" s="2">
        <v>1140.16749570109</v>
      </c>
      <c r="I53" t="s">
        <v>15</v>
      </c>
    </row>
    <row r="54" spans="1:9">
      <c r="A54" t="s">
        <v>208</v>
      </c>
      <c r="B54" t="s">
        <v>209</v>
      </c>
      <c r="C54" t="s">
        <v>27</v>
      </c>
      <c r="D54" t="s">
        <v>59</v>
      </c>
      <c r="E54" s="1">
        <v>37439</v>
      </c>
      <c r="F54">
        <v>40</v>
      </c>
      <c r="G54" s="2">
        <v>23.8861934229302</v>
      </c>
      <c r="H54" s="2">
        <v>955.447736917208</v>
      </c>
      <c r="I54" t="s">
        <v>15</v>
      </c>
    </row>
    <row r="55" spans="1:9">
      <c r="A55" t="s">
        <v>210</v>
      </c>
      <c r="B55" t="s">
        <v>211</v>
      </c>
      <c r="C55" t="s">
        <v>13</v>
      </c>
      <c r="D55" t="s">
        <v>51</v>
      </c>
      <c r="E55" s="1">
        <v>40601</v>
      </c>
      <c r="F55">
        <v>40</v>
      </c>
      <c r="G55" s="2">
        <v>24.4318025315317</v>
      </c>
      <c r="H55" s="2">
        <v>977.272101261268</v>
      </c>
      <c r="I55" t="s">
        <v>15</v>
      </c>
    </row>
    <row r="56" spans="1:9">
      <c r="A56" t="s">
        <v>212</v>
      </c>
      <c r="B56" t="s">
        <v>213</v>
      </c>
      <c r="C56" t="s">
        <v>27</v>
      </c>
      <c r="D56" t="s">
        <v>21</v>
      </c>
      <c r="E56" s="1">
        <v>36264</v>
      </c>
      <c r="F56">
        <v>40</v>
      </c>
      <c r="G56" s="2">
        <v>24.3651867901812</v>
      </c>
      <c r="H56" s="2">
        <v>974.607471607247</v>
      </c>
      <c r="I56" t="s">
        <v>15</v>
      </c>
    </row>
    <row r="57" spans="1:9">
      <c r="A57" t="s">
        <v>214</v>
      </c>
      <c r="B57" t="s">
        <v>215</v>
      </c>
      <c r="C57" t="s">
        <v>20</v>
      </c>
      <c r="D57" t="s">
        <v>14</v>
      </c>
      <c r="E57" s="1">
        <v>39238</v>
      </c>
      <c r="F57">
        <v>40</v>
      </c>
      <c r="G57" s="2">
        <v>26.7929940105714</v>
      </c>
      <c r="H57" s="2">
        <v>1071.71976042286</v>
      </c>
      <c r="I57" t="s">
        <v>15</v>
      </c>
    </row>
    <row r="58" spans="1:9">
      <c r="A58" t="s">
        <v>216</v>
      </c>
      <c r="B58" t="s">
        <v>217</v>
      </c>
      <c r="C58" t="s">
        <v>13</v>
      </c>
      <c r="D58" t="s">
        <v>59</v>
      </c>
      <c r="E58" s="1">
        <v>40754</v>
      </c>
      <c r="F58">
        <v>32</v>
      </c>
      <c r="G58" s="2">
        <v>26.9521621799409</v>
      </c>
      <c r="H58" s="2">
        <v>862.46918975811</v>
      </c>
      <c r="I58" t="s">
        <v>22</v>
      </c>
    </row>
    <row r="59" spans="1:9">
      <c r="A59" t="s">
        <v>218</v>
      </c>
      <c r="B59" t="s">
        <v>219</v>
      </c>
      <c r="C59" t="s">
        <v>36</v>
      </c>
      <c r="D59" t="s">
        <v>14</v>
      </c>
      <c r="E59" s="1">
        <v>39138</v>
      </c>
      <c r="F59">
        <v>15.5</v>
      </c>
      <c r="G59" s="2">
        <v>26.3802017837466</v>
      </c>
      <c r="H59" s="2">
        <v>408.893127648072</v>
      </c>
      <c r="I59" t="s">
        <v>22</v>
      </c>
    </row>
    <row r="60" spans="1:9">
      <c r="A60" t="s">
        <v>220</v>
      </c>
      <c r="B60" t="s">
        <v>221</v>
      </c>
      <c r="C60" t="s">
        <v>36</v>
      </c>
      <c r="D60" t="s">
        <v>14</v>
      </c>
      <c r="E60" s="1">
        <v>38217</v>
      </c>
      <c r="F60">
        <v>40</v>
      </c>
      <c r="G60" s="2">
        <v>29.4332293587101</v>
      </c>
      <c r="H60" s="2">
        <v>1177.32917434841</v>
      </c>
      <c r="I60" t="s">
        <v>15</v>
      </c>
    </row>
    <row r="61" spans="1:9">
      <c r="A61" t="s">
        <v>222</v>
      </c>
      <c r="B61" t="s">
        <v>223</v>
      </c>
      <c r="C61" t="s">
        <v>27</v>
      </c>
      <c r="D61" t="s">
        <v>21</v>
      </c>
      <c r="E61" s="1">
        <v>39378</v>
      </c>
      <c r="F61">
        <v>40</v>
      </c>
      <c r="G61" s="2">
        <v>22.9135978775507</v>
      </c>
      <c r="H61" s="2">
        <v>916.54391510203</v>
      </c>
      <c r="I61" t="s">
        <v>15</v>
      </c>
    </row>
    <row r="62" spans="1:9">
      <c r="A62" t="s">
        <v>224</v>
      </c>
      <c r="B62" t="s">
        <v>225</v>
      </c>
      <c r="C62" t="s">
        <v>27</v>
      </c>
      <c r="D62" t="s">
        <v>14</v>
      </c>
      <c r="E62" s="1">
        <v>41968</v>
      </c>
      <c r="F62">
        <v>40</v>
      </c>
      <c r="G62" s="2">
        <v>21.063510642513</v>
      </c>
      <c r="H62" s="2">
        <v>842.540425700521</v>
      </c>
      <c r="I62" t="s">
        <v>15</v>
      </c>
    </row>
    <row r="63" spans="1:9">
      <c r="A63" t="s">
        <v>226</v>
      </c>
      <c r="B63" t="s">
        <v>227</v>
      </c>
      <c r="C63" t="s">
        <v>20</v>
      </c>
      <c r="D63" t="s">
        <v>14</v>
      </c>
      <c r="E63" s="1">
        <v>40397</v>
      </c>
      <c r="F63">
        <v>35</v>
      </c>
      <c r="G63" s="2">
        <v>26.1930616475145</v>
      </c>
      <c r="H63" s="2">
        <v>916.757157663007</v>
      </c>
      <c r="I63" t="s">
        <v>22</v>
      </c>
    </row>
    <row r="64" spans="1:9">
      <c r="A64" t="s">
        <v>228</v>
      </c>
      <c r="B64" t="s">
        <v>229</v>
      </c>
      <c r="C64" t="s">
        <v>13</v>
      </c>
      <c r="D64" t="s">
        <v>14</v>
      </c>
      <c r="E64" s="1">
        <v>38068</v>
      </c>
      <c r="F64">
        <v>35.5</v>
      </c>
      <c r="G64" s="2">
        <v>26.441106244959</v>
      </c>
      <c r="H64" s="2">
        <v>938.659271696046</v>
      </c>
      <c r="I64" t="s">
        <v>22</v>
      </c>
    </row>
    <row r="65" spans="1:9">
      <c r="A65" t="s">
        <v>230</v>
      </c>
      <c r="B65" t="s">
        <v>231</v>
      </c>
      <c r="C65" t="s">
        <v>13</v>
      </c>
      <c r="D65" t="s">
        <v>51</v>
      </c>
      <c r="E65" s="1">
        <v>38211</v>
      </c>
      <c r="F65">
        <v>32</v>
      </c>
      <c r="G65" s="2">
        <v>20.8628676904625</v>
      </c>
      <c r="H65" s="2">
        <v>667.6117660948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236</v>
      </c>
      <c r="B68" t="s">
        <v>237</v>
      </c>
      <c r="C68" t="s">
        <v>27</v>
      </c>
      <c r="D68" t="s">
        <v>59</v>
      </c>
      <c r="E68" s="1">
        <v>39418</v>
      </c>
      <c r="F68">
        <v>29.5</v>
      </c>
      <c r="G68" s="2">
        <v>27.2459372602021</v>
      </c>
      <c r="H68" s="2">
        <v>803.755149175961</v>
      </c>
      <c r="I68" t="s">
        <v>22</v>
      </c>
    </row>
    <row r="69" spans="1:9">
      <c r="A69" t="s">
        <v>238</v>
      </c>
      <c r="B69" t="s">
        <v>239</v>
      </c>
      <c r="C69" t="s">
        <v>13</v>
      </c>
      <c r="D69" t="s">
        <v>21</v>
      </c>
      <c r="E69" s="1">
        <v>40268</v>
      </c>
      <c r="F69">
        <v>32</v>
      </c>
      <c r="G69" s="2">
        <v>24.7808249198699</v>
      </c>
      <c r="H69" s="2">
        <v>792.986397435835</v>
      </c>
      <c r="I69" t="s">
        <v>22</v>
      </c>
    </row>
    <row r="70" spans="1:9">
      <c r="A70" t="s">
        <v>240</v>
      </c>
      <c r="B70" t="s">
        <v>241</v>
      </c>
      <c r="C70" t="s">
        <v>36</v>
      </c>
      <c r="D70" t="s">
        <v>21</v>
      </c>
      <c r="E70" s="1">
        <v>39770</v>
      </c>
      <c r="F70">
        <v>35</v>
      </c>
      <c r="G70" s="2">
        <v>20.9514694627171</v>
      </c>
      <c r="H70" s="2">
        <v>733.301431195098</v>
      </c>
      <c r="I70" t="s">
        <v>22</v>
      </c>
    </row>
    <row r="71" spans="1:9">
      <c r="A71" t="s">
        <v>242</v>
      </c>
      <c r="B71" t="s">
        <v>243</v>
      </c>
      <c r="C71" t="s">
        <v>27</v>
      </c>
      <c r="D71" t="s">
        <v>51</v>
      </c>
      <c r="E71" s="1">
        <v>37263</v>
      </c>
      <c r="F71">
        <v>40</v>
      </c>
      <c r="G71" s="2">
        <v>24.2132465350738</v>
      </c>
      <c r="H71" s="2">
        <v>968.529861402952</v>
      </c>
      <c r="I71" t="s">
        <v>15</v>
      </c>
    </row>
    <row r="72" spans="1:9">
      <c r="A72" t="s">
        <v>244</v>
      </c>
      <c r="B72" t="s">
        <v>245</v>
      </c>
      <c r="C72" t="s">
        <v>36</v>
      </c>
      <c r="D72" t="s">
        <v>51</v>
      </c>
      <c r="E72" s="1">
        <v>38990</v>
      </c>
      <c r="F72">
        <v>40</v>
      </c>
      <c r="G72" s="2">
        <v>26.6733350813367</v>
      </c>
      <c r="H72" s="2">
        <v>1066.93340325347</v>
      </c>
      <c r="I72" t="s">
        <v>15</v>
      </c>
    </row>
    <row r="73" spans="1:9">
      <c r="A73" t="s">
        <v>246</v>
      </c>
      <c r="B73" t="s">
        <v>247</v>
      </c>
      <c r="C73" t="s">
        <v>36</v>
      </c>
      <c r="D73" t="s">
        <v>51</v>
      </c>
      <c r="E73" s="1">
        <v>38288</v>
      </c>
      <c r="F73">
        <v>40</v>
      </c>
      <c r="G73" s="2">
        <v>23.270898653239</v>
      </c>
      <c r="H73" s="2">
        <v>930.835946129561</v>
      </c>
      <c r="I73" t="s">
        <v>15</v>
      </c>
    </row>
    <row r="74" spans="1:9">
      <c r="A74" t="s">
        <v>248</v>
      </c>
      <c r="B74" t="s">
        <v>249</v>
      </c>
      <c r="C74" t="s">
        <v>27</v>
      </c>
      <c r="D74" t="s">
        <v>51</v>
      </c>
      <c r="E74" s="1">
        <v>39752</v>
      </c>
      <c r="F74">
        <v>40</v>
      </c>
      <c r="G74" s="2">
        <v>29.6126531698801</v>
      </c>
      <c r="H74" s="2">
        <v>1184.5061267952</v>
      </c>
      <c r="I74" t="s">
        <v>15</v>
      </c>
    </row>
    <row r="75" spans="1:9">
      <c r="A75" t="s">
        <v>250</v>
      </c>
      <c r="B75" t="s">
        <v>251</v>
      </c>
      <c r="C75" t="s">
        <v>20</v>
      </c>
      <c r="D75" t="s">
        <v>59</v>
      </c>
      <c r="E75" s="1">
        <v>38029</v>
      </c>
      <c r="F75">
        <v>25</v>
      </c>
      <c r="G75" s="2">
        <v>27.1249727517577</v>
      </c>
      <c r="H75" s="2">
        <v>678.124318793942</v>
      </c>
      <c r="I75" t="s">
        <v>22</v>
      </c>
    </row>
    <row r="76" spans="1:9">
      <c r="A76" t="s">
        <v>252</v>
      </c>
      <c r="B76" t="s">
        <v>253</v>
      </c>
      <c r="C76" t="s">
        <v>13</v>
      </c>
      <c r="D76" t="s">
        <v>51</v>
      </c>
      <c r="E76" s="1">
        <v>38990</v>
      </c>
      <c r="F76">
        <v>40</v>
      </c>
      <c r="G76" s="2">
        <v>20.55570522982</v>
      </c>
      <c r="H76" s="2">
        <v>822.2282091928</v>
      </c>
      <c r="I76" t="s">
        <v>15</v>
      </c>
    </row>
    <row r="77" spans="1:9">
      <c r="A77" t="s">
        <v>254</v>
      </c>
      <c r="B77" t="s">
        <v>255</v>
      </c>
      <c r="C77" t="s">
        <v>27</v>
      </c>
      <c r="D77" t="s">
        <v>51</v>
      </c>
      <c r="E77" s="1">
        <v>40139</v>
      </c>
      <c r="F77">
        <v>42</v>
      </c>
      <c r="G77" s="2">
        <v>23.7429467910733</v>
      </c>
      <c r="H77" s="2">
        <v>997.20376522508</v>
      </c>
      <c r="I77" t="s">
        <v>15</v>
      </c>
    </row>
    <row r="78" spans="1:9">
      <c r="A78" t="s">
        <v>256</v>
      </c>
      <c r="B78" t="s">
        <v>257</v>
      </c>
      <c r="C78" t="s">
        <v>13</v>
      </c>
      <c r="D78" t="s">
        <v>14</v>
      </c>
      <c r="E78" s="1">
        <v>39601</v>
      </c>
      <c r="F78">
        <v>25</v>
      </c>
      <c r="G78" s="2">
        <v>20.6563505176776</v>
      </c>
      <c r="H78" s="2">
        <v>516.40876294194</v>
      </c>
      <c r="I78" t="s">
        <v>22</v>
      </c>
    </row>
    <row r="79" spans="1:9">
      <c r="A79" t="s">
        <v>258</v>
      </c>
      <c r="B79" t="s">
        <v>259</v>
      </c>
      <c r="C79" t="s">
        <v>20</v>
      </c>
      <c r="D79" t="s">
        <v>21</v>
      </c>
      <c r="E79" s="1">
        <v>40035</v>
      </c>
      <c r="F79">
        <v>40</v>
      </c>
      <c r="G79" s="2">
        <v>24.7613808611318</v>
      </c>
      <c r="H79" s="2">
        <v>990.455234445274</v>
      </c>
      <c r="I79" t="s">
        <v>15</v>
      </c>
    </row>
    <row r="80" spans="1:9">
      <c r="A80" t="s">
        <v>260</v>
      </c>
      <c r="B80" t="s">
        <v>261</v>
      </c>
      <c r="C80" t="s">
        <v>27</v>
      </c>
      <c r="D80" t="s">
        <v>59</v>
      </c>
      <c r="E80" s="1">
        <v>40296</v>
      </c>
      <c r="F80">
        <v>42</v>
      </c>
      <c r="G80" s="2">
        <v>21.2089102328483</v>
      </c>
      <c r="H80" s="2">
        <v>890.774229779629</v>
      </c>
      <c r="I80" t="s">
        <v>15</v>
      </c>
    </row>
    <row r="81" spans="1:9">
      <c r="A81" t="s">
        <v>262</v>
      </c>
      <c r="B81" t="s">
        <v>263</v>
      </c>
      <c r="C81" t="s">
        <v>27</v>
      </c>
      <c r="D81" t="s">
        <v>14</v>
      </c>
      <c r="E81" s="1">
        <v>36953</v>
      </c>
      <c r="F81">
        <v>40</v>
      </c>
      <c r="G81" s="2">
        <v>29.6869323887969</v>
      </c>
      <c r="H81" s="2">
        <v>1187.47729555188</v>
      </c>
      <c r="I81" t="s">
        <v>15</v>
      </c>
    </row>
    <row r="82" spans="1:9">
      <c r="A82" t="s">
        <v>264</v>
      </c>
      <c r="B82" t="s">
        <v>265</v>
      </c>
      <c r="C82" t="s">
        <v>36</v>
      </c>
      <c r="D82" t="s">
        <v>14</v>
      </c>
      <c r="E82" s="1">
        <v>36948</v>
      </c>
      <c r="F82">
        <v>15.5</v>
      </c>
      <c r="G82" s="2">
        <v>27.0324725336245</v>
      </c>
      <c r="H82" s="2">
        <v>419.003324271179</v>
      </c>
      <c r="I82" t="s">
        <v>22</v>
      </c>
    </row>
    <row r="83" spans="1:9">
      <c r="A83" t="s">
        <v>266</v>
      </c>
      <c r="B83" t="s">
        <v>267</v>
      </c>
      <c r="C83" t="s">
        <v>27</v>
      </c>
      <c r="D83" t="s">
        <v>21</v>
      </c>
      <c r="E83" s="1">
        <v>40537</v>
      </c>
      <c r="F83">
        <v>40</v>
      </c>
      <c r="G83" s="2">
        <v>23.8393078808562</v>
      </c>
      <c r="H83" s="2">
        <v>953.572315234248</v>
      </c>
      <c r="I83" t="s">
        <v>15</v>
      </c>
    </row>
    <row r="84" spans="1:9">
      <c r="A84" t="s">
        <v>268</v>
      </c>
      <c r="B84" t="s">
        <v>269</v>
      </c>
      <c r="C84" t="s">
        <v>27</v>
      </c>
      <c r="D84" t="s">
        <v>21</v>
      </c>
      <c r="E84" s="1">
        <v>40692</v>
      </c>
      <c r="F84">
        <v>29.5</v>
      </c>
      <c r="G84" s="2">
        <v>26.1711140052097</v>
      </c>
      <c r="H84" s="2">
        <v>772.047863153687</v>
      </c>
      <c r="I84" t="s">
        <v>22</v>
      </c>
    </row>
    <row r="85" spans="1:9">
      <c r="A85" t="s">
        <v>270</v>
      </c>
      <c r="B85" t="s">
        <v>271</v>
      </c>
      <c r="C85" t="s">
        <v>27</v>
      </c>
      <c r="D85" t="s">
        <v>21</v>
      </c>
      <c r="E85" s="1">
        <v>38211</v>
      </c>
      <c r="F85">
        <v>29.5</v>
      </c>
      <c r="G85" s="2">
        <v>24.9382581014963</v>
      </c>
      <c r="H85" s="2">
        <v>735.67861399414</v>
      </c>
      <c r="I85" t="s">
        <v>22</v>
      </c>
    </row>
    <row r="86" spans="1:9">
      <c r="A86" t="s">
        <v>272</v>
      </c>
      <c r="B86" t="s">
        <v>273</v>
      </c>
      <c r="C86" t="s">
        <v>36</v>
      </c>
      <c r="D86" t="s">
        <v>21</v>
      </c>
      <c r="E86" s="1">
        <v>39435</v>
      </c>
      <c r="F86">
        <v>40</v>
      </c>
      <c r="G86" s="2">
        <v>21.9331419032506</v>
      </c>
      <c r="H86" s="2">
        <v>877.325676130023</v>
      </c>
      <c r="I86" t="s">
        <v>15</v>
      </c>
    </row>
    <row r="87" spans="1:9">
      <c r="A87" t="s">
        <v>274</v>
      </c>
      <c r="B87" t="s">
        <v>275</v>
      </c>
      <c r="C87" t="s">
        <v>36</v>
      </c>
      <c r="D87" t="s">
        <v>14</v>
      </c>
      <c r="E87" s="1">
        <v>40417</v>
      </c>
      <c r="F87">
        <v>15.5</v>
      </c>
      <c r="G87" s="2">
        <v>22.2269085765447</v>
      </c>
      <c r="H87" s="2">
        <v>344.517082936443</v>
      </c>
      <c r="I87" t="s">
        <v>22</v>
      </c>
    </row>
    <row r="88" spans="1:9">
      <c r="A88" t="s">
        <v>276</v>
      </c>
      <c r="B88" t="s">
        <v>277</v>
      </c>
      <c r="C88" t="s">
        <v>36</v>
      </c>
      <c r="D88" t="s">
        <v>21</v>
      </c>
      <c r="E88" s="1">
        <v>38880</v>
      </c>
      <c r="F88">
        <v>40</v>
      </c>
      <c r="G88" s="2">
        <v>28.5121956001453</v>
      </c>
      <c r="H88" s="2">
        <v>1140.48782400581</v>
      </c>
      <c r="I88" t="s">
        <v>15</v>
      </c>
    </row>
    <row r="89" spans="1:9">
      <c r="A89" t="s">
        <v>278</v>
      </c>
      <c r="B89" t="s">
        <v>279</v>
      </c>
      <c r="C89" t="s">
        <v>20</v>
      </c>
      <c r="D89" t="s">
        <v>59</v>
      </c>
      <c r="E89" s="1">
        <v>38084</v>
      </c>
      <c r="F89">
        <v>38</v>
      </c>
      <c r="G89" s="2">
        <v>26.1580386214767</v>
      </c>
      <c r="H89" s="2">
        <v>994.005467616114</v>
      </c>
      <c r="I89" t="s">
        <v>22</v>
      </c>
    </row>
    <row r="90" spans="1:9">
      <c r="A90" t="s">
        <v>280</v>
      </c>
      <c r="B90" t="s">
        <v>281</v>
      </c>
      <c r="C90" t="s">
        <v>20</v>
      </c>
      <c r="D90" t="s">
        <v>14</v>
      </c>
      <c r="E90" s="1">
        <v>37112</v>
      </c>
      <c r="F90">
        <v>38</v>
      </c>
      <c r="G90" s="2">
        <v>29.9674239695174</v>
      </c>
      <c r="H90" s="2">
        <v>1138.76211084166</v>
      </c>
      <c r="I90" t="s">
        <v>22</v>
      </c>
    </row>
    <row r="91" spans="1:9">
      <c r="A91" t="s">
        <v>282</v>
      </c>
      <c r="B91" t="s">
        <v>283</v>
      </c>
      <c r="C91" t="s">
        <v>27</v>
      </c>
      <c r="D91" t="s">
        <v>51</v>
      </c>
      <c r="E91" s="1">
        <v>37948</v>
      </c>
      <c r="F91">
        <v>40</v>
      </c>
      <c r="G91" s="2">
        <v>25.3452862696831</v>
      </c>
      <c r="H91" s="2">
        <v>1013.81145078732</v>
      </c>
      <c r="I91" t="s">
        <v>15</v>
      </c>
    </row>
    <row r="92" spans="1:9">
      <c r="A92" t="s">
        <v>284</v>
      </c>
      <c r="B92" t="s">
        <v>285</v>
      </c>
      <c r="C92" t="s">
        <v>36</v>
      </c>
      <c r="D92" t="s">
        <v>14</v>
      </c>
      <c r="E92" s="1">
        <v>39059</v>
      </c>
      <c r="F92">
        <v>40</v>
      </c>
      <c r="G92" s="2">
        <v>25.6019372294119</v>
      </c>
      <c r="H92" s="2">
        <v>1024.07748917648</v>
      </c>
      <c r="I92" t="s">
        <v>15</v>
      </c>
    </row>
    <row r="93" spans="1:9">
      <c r="A93" t="s">
        <v>286</v>
      </c>
      <c r="B93" t="s">
        <v>287</v>
      </c>
      <c r="C93" t="s">
        <v>20</v>
      </c>
      <c r="D93" t="s">
        <v>14</v>
      </c>
      <c r="E93" s="1">
        <v>38533</v>
      </c>
      <c r="F93">
        <v>35.5</v>
      </c>
      <c r="G93" s="2">
        <v>23.9214244689799</v>
      </c>
      <c r="H93" s="2">
        <v>849.210568648788</v>
      </c>
      <c r="I93" t="s">
        <v>22</v>
      </c>
    </row>
    <row r="94" spans="1:9">
      <c r="A94" t="s">
        <v>288</v>
      </c>
      <c r="B94" t="s">
        <v>289</v>
      </c>
      <c r="C94" t="s">
        <v>36</v>
      </c>
      <c r="D94" t="s">
        <v>59</v>
      </c>
      <c r="E94" s="1">
        <v>38744</v>
      </c>
      <c r="F94">
        <v>35</v>
      </c>
      <c r="G94" s="2">
        <v>20.3208991153415</v>
      </c>
      <c r="H94" s="2">
        <v>711.231469036951</v>
      </c>
      <c r="I94" t="s">
        <v>22</v>
      </c>
    </row>
    <row r="95" spans="1:9">
      <c r="A95" t="s">
        <v>290</v>
      </c>
      <c r="B95" t="s">
        <v>291</v>
      </c>
      <c r="C95" t="s">
        <v>20</v>
      </c>
      <c r="D95" t="s">
        <v>59</v>
      </c>
      <c r="E95" s="1">
        <v>40119</v>
      </c>
      <c r="F95">
        <v>35</v>
      </c>
      <c r="G95" s="2">
        <v>27.5256373926534</v>
      </c>
      <c r="H95" s="2">
        <v>963.397308742868</v>
      </c>
      <c r="I95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workbookViewId="0">
      <selection activeCell="C1" sqref="C$1:C$1048576"/>
    </sheetView>
  </sheetViews>
  <sheetFormatPr defaultColWidth="8.88888888888889" defaultRowHeight="14.4"/>
  <cols>
    <col min="5" max="5" width="10.8888888888889"/>
    <col min="8" max="8" width="9.55555555555556"/>
  </cols>
  <sheetData>
    <row r="1" spans="1:1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N1" t="s">
        <v>298</v>
      </c>
    </row>
    <row r="2" spans="1:9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</row>
    <row r="3" spans="1:9">
      <c r="A3" t="s">
        <v>72</v>
      </c>
      <c r="B3" t="s">
        <v>73</v>
      </c>
      <c r="C3" t="s">
        <v>13</v>
      </c>
      <c r="D3" t="s">
        <v>59</v>
      </c>
      <c r="E3" s="1">
        <v>39223</v>
      </c>
      <c r="F3">
        <v>38</v>
      </c>
      <c r="G3" s="2">
        <v>26.2234936764226</v>
      </c>
      <c r="H3" s="2">
        <v>996.49275970406</v>
      </c>
      <c r="I3" t="s">
        <v>22</v>
      </c>
    </row>
    <row r="4" spans="1:9">
      <c r="A4" t="s">
        <v>84</v>
      </c>
      <c r="B4" t="s">
        <v>85</v>
      </c>
      <c r="C4" t="s">
        <v>13</v>
      </c>
      <c r="D4" t="s">
        <v>14</v>
      </c>
      <c r="E4" s="1">
        <v>39865</v>
      </c>
      <c r="F4">
        <v>35</v>
      </c>
      <c r="G4" s="2">
        <v>24.9864365543203</v>
      </c>
      <c r="H4" s="2">
        <v>874.525279401211</v>
      </c>
      <c r="I4" t="s">
        <v>22</v>
      </c>
    </row>
    <row r="5" spans="1:9">
      <c r="A5" t="s">
        <v>108</v>
      </c>
      <c r="B5" t="s">
        <v>109</v>
      </c>
      <c r="C5" t="s">
        <v>13</v>
      </c>
      <c r="D5" t="s">
        <v>21</v>
      </c>
      <c r="E5" s="1">
        <v>40611</v>
      </c>
      <c r="F5">
        <v>35</v>
      </c>
      <c r="G5" s="2">
        <v>21.3408234410477</v>
      </c>
      <c r="H5" s="2">
        <v>746.928820436669</v>
      </c>
      <c r="I5" t="s">
        <v>22</v>
      </c>
    </row>
    <row r="6" spans="1:9">
      <c r="A6" t="s">
        <v>112</v>
      </c>
      <c r="B6" t="s">
        <v>113</v>
      </c>
      <c r="C6" t="s">
        <v>13</v>
      </c>
      <c r="D6" t="s">
        <v>21</v>
      </c>
      <c r="E6" s="1">
        <v>38808</v>
      </c>
      <c r="F6">
        <v>25</v>
      </c>
      <c r="G6" s="2">
        <v>26.7983252095194</v>
      </c>
      <c r="H6" s="2">
        <v>669.958130237985</v>
      </c>
      <c r="I6" t="s">
        <v>22</v>
      </c>
    </row>
    <row r="7" spans="1:9">
      <c r="A7" t="s">
        <v>140</v>
      </c>
      <c r="B7" t="s">
        <v>141</v>
      </c>
      <c r="C7" t="s">
        <v>13</v>
      </c>
      <c r="D7" t="s">
        <v>59</v>
      </c>
      <c r="E7" s="1">
        <v>38474</v>
      </c>
      <c r="F7">
        <v>40</v>
      </c>
      <c r="G7" s="2">
        <v>25.3218774491568</v>
      </c>
      <c r="H7" s="2">
        <v>1012.87509796627</v>
      </c>
      <c r="I7" t="s">
        <v>15</v>
      </c>
    </row>
    <row r="8" spans="1:9">
      <c r="A8" t="s">
        <v>144</v>
      </c>
      <c r="B8" t="s">
        <v>145</v>
      </c>
      <c r="C8" t="s">
        <v>13</v>
      </c>
      <c r="D8" t="s">
        <v>59</v>
      </c>
      <c r="E8" s="1">
        <v>40205</v>
      </c>
      <c r="F8">
        <v>35.5</v>
      </c>
      <c r="G8" s="2">
        <v>22.0416278412084</v>
      </c>
      <c r="H8" s="2">
        <v>782.477788362898</v>
      </c>
      <c r="I8" t="s">
        <v>22</v>
      </c>
    </row>
    <row r="9" spans="1:9">
      <c r="A9" t="s">
        <v>200</v>
      </c>
      <c r="B9" t="s">
        <v>201</v>
      </c>
      <c r="C9" t="s">
        <v>13</v>
      </c>
      <c r="D9" t="s">
        <v>59</v>
      </c>
      <c r="E9" s="1">
        <v>37784</v>
      </c>
      <c r="F9">
        <v>38</v>
      </c>
      <c r="G9" s="2">
        <v>25.8959240312466</v>
      </c>
      <c r="H9" s="2">
        <v>984.04511318737</v>
      </c>
      <c r="I9" t="s">
        <v>22</v>
      </c>
    </row>
    <row r="10" spans="1:9">
      <c r="A10" t="s">
        <v>210</v>
      </c>
      <c r="B10" t="s">
        <v>211</v>
      </c>
      <c r="C10" t="s">
        <v>13</v>
      </c>
      <c r="D10" t="s">
        <v>51</v>
      </c>
      <c r="E10" s="1">
        <v>40601</v>
      </c>
      <c r="F10">
        <v>40</v>
      </c>
      <c r="G10" s="2">
        <v>24.4318025315317</v>
      </c>
      <c r="H10" s="2">
        <v>977.272101261268</v>
      </c>
      <c r="I10" t="s">
        <v>15</v>
      </c>
    </row>
    <row r="11" spans="1:9">
      <c r="A11" t="s">
        <v>216</v>
      </c>
      <c r="B11" t="s">
        <v>217</v>
      </c>
      <c r="C11" t="s">
        <v>13</v>
      </c>
      <c r="D11" t="s">
        <v>59</v>
      </c>
      <c r="E11" s="1">
        <v>40754</v>
      </c>
      <c r="F11">
        <v>32</v>
      </c>
      <c r="G11" s="2">
        <v>26.9521621799409</v>
      </c>
      <c r="H11" s="2">
        <v>862.46918975811</v>
      </c>
      <c r="I11" t="s">
        <v>22</v>
      </c>
    </row>
    <row r="12" spans="1:9">
      <c r="A12" t="s">
        <v>228</v>
      </c>
      <c r="B12" t="s">
        <v>229</v>
      </c>
      <c r="C12" t="s">
        <v>13</v>
      </c>
      <c r="D12" t="s">
        <v>14</v>
      </c>
      <c r="E12" s="1">
        <v>38068</v>
      </c>
      <c r="F12">
        <v>35.5</v>
      </c>
      <c r="G12" s="2">
        <v>26.441106244959</v>
      </c>
      <c r="H12" s="2">
        <v>938.659271696046</v>
      </c>
      <c r="I12" t="s">
        <v>22</v>
      </c>
    </row>
    <row r="13" spans="1:9">
      <c r="A13" t="s">
        <v>230</v>
      </c>
      <c r="B13" t="s">
        <v>231</v>
      </c>
      <c r="C13" t="s">
        <v>13</v>
      </c>
      <c r="D13" t="s">
        <v>51</v>
      </c>
      <c r="E13" s="1">
        <v>38211</v>
      </c>
      <c r="F13">
        <v>32</v>
      </c>
      <c r="G13" s="2">
        <v>20.8628676904625</v>
      </c>
      <c r="H13" s="2">
        <v>667.6117660948</v>
      </c>
      <c r="I13" t="s">
        <v>22</v>
      </c>
    </row>
    <row r="14" spans="1:9">
      <c r="A14" t="s">
        <v>238</v>
      </c>
      <c r="B14" t="s">
        <v>239</v>
      </c>
      <c r="C14" t="s">
        <v>13</v>
      </c>
      <c r="D14" t="s">
        <v>21</v>
      </c>
      <c r="E14" s="1">
        <v>40268</v>
      </c>
      <c r="F14">
        <v>32</v>
      </c>
      <c r="G14" s="2">
        <v>24.7808249198699</v>
      </c>
      <c r="H14" s="2">
        <v>792.986397435835</v>
      </c>
      <c r="I14" t="s">
        <v>22</v>
      </c>
    </row>
    <row r="15" spans="1:9">
      <c r="A15" t="s">
        <v>252</v>
      </c>
      <c r="B15" t="s">
        <v>253</v>
      </c>
      <c r="C15" t="s">
        <v>13</v>
      </c>
      <c r="D15" t="s">
        <v>51</v>
      </c>
      <c r="E15" s="1">
        <v>38990</v>
      </c>
      <c r="F15">
        <v>40</v>
      </c>
      <c r="G15" s="2">
        <v>20.55570522982</v>
      </c>
      <c r="H15" s="2">
        <v>822.2282091928</v>
      </c>
      <c r="I15" t="s">
        <v>15</v>
      </c>
    </row>
    <row r="16" spans="1:9">
      <c r="A16" t="s">
        <v>256</v>
      </c>
      <c r="B16" t="s">
        <v>257</v>
      </c>
      <c r="C16" t="s">
        <v>13</v>
      </c>
      <c r="D16" t="s">
        <v>14</v>
      </c>
      <c r="E16" s="1">
        <v>39601</v>
      </c>
      <c r="F16">
        <v>25</v>
      </c>
      <c r="G16" s="2">
        <v>20.6563505176776</v>
      </c>
      <c r="H16" s="2">
        <v>516.40876294194</v>
      </c>
      <c r="I16" t="s">
        <v>22</v>
      </c>
    </row>
    <row r="17" spans="1:9">
      <c r="A17" t="s">
        <v>25</v>
      </c>
      <c r="B17" t="s">
        <v>26</v>
      </c>
      <c r="C17" t="s">
        <v>27</v>
      </c>
      <c r="D17" t="s">
        <v>14</v>
      </c>
      <c r="E17" s="1">
        <v>39089</v>
      </c>
      <c r="F17">
        <v>42</v>
      </c>
      <c r="G17" s="2">
        <v>23.2385457007659</v>
      </c>
      <c r="H17" s="2">
        <v>976.018919432168</v>
      </c>
      <c r="I17" t="s">
        <v>15</v>
      </c>
    </row>
    <row r="18" spans="1:9">
      <c r="A18" t="s">
        <v>38</v>
      </c>
      <c r="B18" t="s">
        <v>39</v>
      </c>
      <c r="C18" t="s">
        <v>27</v>
      </c>
      <c r="D18" t="s">
        <v>21</v>
      </c>
      <c r="E18" s="1">
        <v>39329</v>
      </c>
      <c r="F18">
        <v>29.5</v>
      </c>
      <c r="G18" s="2">
        <v>22.5040616496157</v>
      </c>
      <c r="H18" s="2">
        <v>663.869818663664</v>
      </c>
      <c r="I18" t="s">
        <v>22</v>
      </c>
    </row>
    <row r="19" spans="1:9">
      <c r="A19" t="s">
        <v>42</v>
      </c>
      <c r="B19" t="s">
        <v>43</v>
      </c>
      <c r="C19" t="s">
        <v>27</v>
      </c>
      <c r="D19" t="s">
        <v>14</v>
      </c>
      <c r="E19" s="1">
        <v>38372</v>
      </c>
      <c r="F19">
        <v>35.5</v>
      </c>
      <c r="G19" s="2">
        <v>23.7146915473977</v>
      </c>
      <c r="H19" s="2">
        <v>841.87154993262</v>
      </c>
      <c r="I19" t="s">
        <v>22</v>
      </c>
    </row>
    <row r="20" spans="1:9">
      <c r="A20" t="s">
        <v>46</v>
      </c>
      <c r="B20" t="s">
        <v>47</v>
      </c>
      <c r="C20" t="s">
        <v>27</v>
      </c>
      <c r="D20" t="s">
        <v>21</v>
      </c>
      <c r="E20" s="1">
        <v>37721</v>
      </c>
      <c r="F20">
        <v>40</v>
      </c>
      <c r="G20" s="2">
        <v>24.6342558337354</v>
      </c>
      <c r="H20" s="2">
        <v>985.370233349417</v>
      </c>
      <c r="I20" t="s">
        <v>15</v>
      </c>
    </row>
    <row r="21" spans="1:9">
      <c r="A21" t="s">
        <v>54</v>
      </c>
      <c r="B21" t="s">
        <v>55</v>
      </c>
      <c r="C21" t="s">
        <v>27</v>
      </c>
      <c r="D21" t="s">
        <v>14</v>
      </c>
      <c r="E21" s="1">
        <v>39406</v>
      </c>
      <c r="F21">
        <v>35.5</v>
      </c>
      <c r="G21" s="2">
        <v>22.4745266505368</v>
      </c>
      <c r="H21" s="2">
        <v>797.845696094057</v>
      </c>
      <c r="I21" t="s">
        <v>22</v>
      </c>
    </row>
    <row r="22" spans="1:9">
      <c r="A22" t="s">
        <v>80</v>
      </c>
      <c r="B22" t="s">
        <v>81</v>
      </c>
      <c r="C22" t="s">
        <v>27</v>
      </c>
      <c r="D22" t="s">
        <v>14</v>
      </c>
      <c r="E22" s="1">
        <v>40108</v>
      </c>
      <c r="F22">
        <v>40</v>
      </c>
      <c r="G22" s="2">
        <v>27.4278911367849</v>
      </c>
      <c r="H22" s="2">
        <v>1097.11564547139</v>
      </c>
      <c r="I22" t="s">
        <v>15</v>
      </c>
    </row>
    <row r="23" spans="1:9">
      <c r="A23" t="s">
        <v>132</v>
      </c>
      <c r="B23" t="s">
        <v>133</v>
      </c>
      <c r="C23" t="s">
        <v>27</v>
      </c>
      <c r="D23" t="s">
        <v>14</v>
      </c>
      <c r="E23" s="1">
        <v>39414</v>
      </c>
      <c r="F23">
        <v>35.5</v>
      </c>
      <c r="G23" s="2">
        <v>24.0440594640406</v>
      </c>
      <c r="H23" s="2">
        <v>853.56411097344</v>
      </c>
      <c r="I23" t="s">
        <v>22</v>
      </c>
    </row>
    <row r="24" spans="1:9">
      <c r="A24" t="s">
        <v>136</v>
      </c>
      <c r="B24" t="s">
        <v>137</v>
      </c>
      <c r="C24" t="s">
        <v>27</v>
      </c>
      <c r="D24" t="s">
        <v>21</v>
      </c>
      <c r="E24" s="1">
        <v>39831</v>
      </c>
      <c r="F24">
        <v>29.5</v>
      </c>
      <c r="G24" s="2">
        <v>27.9270088695213</v>
      </c>
      <c r="H24" s="2">
        <v>823.846761650878</v>
      </c>
      <c r="I24" t="s">
        <v>22</v>
      </c>
    </row>
    <row r="25" spans="1:9">
      <c r="A25" t="s">
        <v>152</v>
      </c>
      <c r="B25" t="s">
        <v>153</v>
      </c>
      <c r="C25" t="s">
        <v>27</v>
      </c>
      <c r="D25" t="s">
        <v>14</v>
      </c>
      <c r="E25" s="1">
        <v>38914</v>
      </c>
      <c r="F25">
        <v>35.5</v>
      </c>
      <c r="G25" s="2">
        <v>23.7804724680972</v>
      </c>
      <c r="H25" s="2">
        <v>844.206772617451</v>
      </c>
      <c r="I25" t="s">
        <v>22</v>
      </c>
    </row>
    <row r="26" spans="1:9">
      <c r="A26" t="s">
        <v>160</v>
      </c>
      <c r="B26" t="s">
        <v>161</v>
      </c>
      <c r="C26" t="s">
        <v>27</v>
      </c>
      <c r="D26" t="s">
        <v>14</v>
      </c>
      <c r="E26" s="1">
        <v>38659</v>
      </c>
      <c r="F26">
        <v>40</v>
      </c>
      <c r="G26" s="2">
        <v>28.0351807192208</v>
      </c>
      <c r="H26" s="2">
        <v>1121.40722876883</v>
      </c>
      <c r="I26" t="s">
        <v>15</v>
      </c>
    </row>
    <row r="27" spans="1:9">
      <c r="A27" t="s">
        <v>176</v>
      </c>
      <c r="B27" t="s">
        <v>177</v>
      </c>
      <c r="C27" t="s">
        <v>27</v>
      </c>
      <c r="D27" t="s">
        <v>59</v>
      </c>
      <c r="E27" s="1">
        <v>38989</v>
      </c>
      <c r="F27">
        <v>40</v>
      </c>
      <c r="G27" s="2">
        <v>26.1563408101695</v>
      </c>
      <c r="H27" s="2">
        <v>1046.25363240678</v>
      </c>
      <c r="I27" t="s">
        <v>15</v>
      </c>
    </row>
    <row r="28" spans="1:9">
      <c r="A28" t="s">
        <v>180</v>
      </c>
      <c r="B28" t="s">
        <v>181</v>
      </c>
      <c r="C28" t="s">
        <v>27</v>
      </c>
      <c r="D28" t="s">
        <v>59</v>
      </c>
      <c r="E28" s="1">
        <v>40127</v>
      </c>
      <c r="F28">
        <v>40</v>
      </c>
      <c r="G28" s="2">
        <v>28.8001607672559</v>
      </c>
      <c r="H28" s="2">
        <v>1152.00643069023</v>
      </c>
      <c r="I28" t="s">
        <v>15</v>
      </c>
    </row>
    <row r="29" spans="1:9">
      <c r="A29" t="s">
        <v>184</v>
      </c>
      <c r="B29" t="s">
        <v>185</v>
      </c>
      <c r="C29" t="s">
        <v>27</v>
      </c>
      <c r="D29" t="s">
        <v>14</v>
      </c>
      <c r="E29" s="1">
        <v>39070</v>
      </c>
      <c r="F29">
        <v>35.5</v>
      </c>
      <c r="G29" s="2">
        <v>24.7005037048751</v>
      </c>
      <c r="H29" s="2">
        <v>876.867881523066</v>
      </c>
      <c r="I29" t="s">
        <v>22</v>
      </c>
    </row>
    <row r="30" spans="1:9">
      <c r="A30" t="s">
        <v>208</v>
      </c>
      <c r="B30" t="s">
        <v>209</v>
      </c>
      <c r="C30" t="s">
        <v>27</v>
      </c>
      <c r="D30" t="s">
        <v>59</v>
      </c>
      <c r="E30" s="1">
        <v>37439</v>
      </c>
      <c r="F30">
        <v>40</v>
      </c>
      <c r="G30" s="2">
        <v>23.8861934229302</v>
      </c>
      <c r="H30" s="2">
        <v>955.447736917208</v>
      </c>
      <c r="I30" t="s">
        <v>15</v>
      </c>
    </row>
    <row r="31" spans="1:9">
      <c r="A31" t="s">
        <v>212</v>
      </c>
      <c r="B31" t="s">
        <v>213</v>
      </c>
      <c r="C31" t="s">
        <v>27</v>
      </c>
      <c r="D31" t="s">
        <v>21</v>
      </c>
      <c r="E31" s="1">
        <v>36264</v>
      </c>
      <c r="F31">
        <v>40</v>
      </c>
      <c r="G31" s="2">
        <v>24.3651867901812</v>
      </c>
      <c r="H31" s="2">
        <v>974.607471607247</v>
      </c>
      <c r="I31" t="s">
        <v>15</v>
      </c>
    </row>
    <row r="32" spans="1:9">
      <c r="A32" t="s">
        <v>222</v>
      </c>
      <c r="B32" t="s">
        <v>223</v>
      </c>
      <c r="C32" t="s">
        <v>27</v>
      </c>
      <c r="D32" t="s">
        <v>21</v>
      </c>
      <c r="E32" s="1">
        <v>39378</v>
      </c>
      <c r="F32">
        <v>40</v>
      </c>
      <c r="G32" s="2">
        <v>22.9135978775507</v>
      </c>
      <c r="H32" s="2">
        <v>916.54391510203</v>
      </c>
      <c r="I32" t="s">
        <v>15</v>
      </c>
    </row>
    <row r="33" spans="1:9">
      <c r="A33" t="s">
        <v>224</v>
      </c>
      <c r="B33" t="s">
        <v>225</v>
      </c>
      <c r="C33" t="s">
        <v>27</v>
      </c>
      <c r="D33" t="s">
        <v>14</v>
      </c>
      <c r="E33" s="1">
        <v>41968</v>
      </c>
      <c r="F33">
        <v>40</v>
      </c>
      <c r="G33" s="2">
        <v>21.063510642513</v>
      </c>
      <c r="H33" s="2">
        <v>842.540425700521</v>
      </c>
      <c r="I33" t="s">
        <v>15</v>
      </c>
    </row>
    <row r="34" spans="1:9">
      <c r="A34" t="s">
        <v>236</v>
      </c>
      <c r="B34" t="s">
        <v>237</v>
      </c>
      <c r="C34" t="s">
        <v>27</v>
      </c>
      <c r="D34" t="s">
        <v>59</v>
      </c>
      <c r="E34" s="1">
        <v>39418</v>
      </c>
      <c r="F34">
        <v>29.5</v>
      </c>
      <c r="G34" s="2">
        <v>27.2459372602021</v>
      </c>
      <c r="H34" s="2">
        <v>803.755149175961</v>
      </c>
      <c r="I34" t="s">
        <v>22</v>
      </c>
    </row>
    <row r="35" spans="1:9">
      <c r="A35" t="s">
        <v>242</v>
      </c>
      <c r="B35" t="s">
        <v>243</v>
      </c>
      <c r="C35" t="s">
        <v>27</v>
      </c>
      <c r="D35" t="s">
        <v>51</v>
      </c>
      <c r="E35" s="1">
        <v>37263</v>
      </c>
      <c r="F35">
        <v>40</v>
      </c>
      <c r="G35" s="2">
        <v>24.2132465350738</v>
      </c>
      <c r="H35" s="2">
        <v>968.529861402952</v>
      </c>
      <c r="I35" t="s">
        <v>15</v>
      </c>
    </row>
    <row r="36" spans="1:9">
      <c r="A36" t="s">
        <v>248</v>
      </c>
      <c r="B36" t="s">
        <v>249</v>
      </c>
      <c r="C36" t="s">
        <v>27</v>
      </c>
      <c r="D36" t="s">
        <v>51</v>
      </c>
      <c r="E36" s="1">
        <v>39752</v>
      </c>
      <c r="F36">
        <v>40</v>
      </c>
      <c r="G36" s="2">
        <v>29.6126531698801</v>
      </c>
      <c r="H36" s="2">
        <v>1184.5061267952</v>
      </c>
      <c r="I36" t="s">
        <v>15</v>
      </c>
    </row>
    <row r="37" spans="1:9">
      <c r="A37" t="s">
        <v>254</v>
      </c>
      <c r="B37" t="s">
        <v>255</v>
      </c>
      <c r="C37" t="s">
        <v>27</v>
      </c>
      <c r="D37" t="s">
        <v>51</v>
      </c>
      <c r="E37" s="1">
        <v>40139</v>
      </c>
      <c r="F37">
        <v>42</v>
      </c>
      <c r="G37" s="2">
        <v>23.7429467910733</v>
      </c>
      <c r="H37" s="2">
        <v>997.20376522508</v>
      </c>
      <c r="I37" t="s">
        <v>15</v>
      </c>
    </row>
    <row r="38" spans="1:9">
      <c r="A38" t="s">
        <v>260</v>
      </c>
      <c r="B38" t="s">
        <v>261</v>
      </c>
      <c r="C38" t="s">
        <v>27</v>
      </c>
      <c r="D38" t="s">
        <v>59</v>
      </c>
      <c r="E38" s="1">
        <v>40296</v>
      </c>
      <c r="F38">
        <v>42</v>
      </c>
      <c r="G38" s="2">
        <v>21.2089102328483</v>
      </c>
      <c r="H38" s="2">
        <v>890.774229779629</v>
      </c>
      <c r="I38" t="s">
        <v>15</v>
      </c>
    </row>
    <row r="39" spans="1:9">
      <c r="A39" t="s">
        <v>262</v>
      </c>
      <c r="B39" t="s">
        <v>263</v>
      </c>
      <c r="C39" t="s">
        <v>27</v>
      </c>
      <c r="D39" t="s">
        <v>14</v>
      </c>
      <c r="E39" s="1">
        <v>36953</v>
      </c>
      <c r="F39">
        <v>40</v>
      </c>
      <c r="G39" s="2">
        <v>29.6869323887969</v>
      </c>
      <c r="H39" s="2">
        <v>1187.47729555188</v>
      </c>
      <c r="I39" t="s">
        <v>15</v>
      </c>
    </row>
    <row r="40" spans="1:9">
      <c r="A40" t="s">
        <v>266</v>
      </c>
      <c r="B40" t="s">
        <v>267</v>
      </c>
      <c r="C40" t="s">
        <v>27</v>
      </c>
      <c r="D40" t="s">
        <v>21</v>
      </c>
      <c r="E40" s="1">
        <v>40537</v>
      </c>
      <c r="F40">
        <v>40</v>
      </c>
      <c r="G40" s="2">
        <v>23.8393078808562</v>
      </c>
      <c r="H40" s="2">
        <v>953.572315234248</v>
      </c>
      <c r="I40" t="s">
        <v>15</v>
      </c>
    </row>
    <row r="41" spans="1:9">
      <c r="A41" t="s">
        <v>268</v>
      </c>
      <c r="B41" t="s">
        <v>269</v>
      </c>
      <c r="C41" t="s">
        <v>27</v>
      </c>
      <c r="D41" t="s">
        <v>21</v>
      </c>
      <c r="E41" s="1">
        <v>40692</v>
      </c>
      <c r="F41">
        <v>29.5</v>
      </c>
      <c r="G41" s="2">
        <v>26.1711140052097</v>
      </c>
      <c r="H41" s="2">
        <v>772.047863153687</v>
      </c>
      <c r="I41" t="s">
        <v>22</v>
      </c>
    </row>
    <row r="42" spans="1:9">
      <c r="A42" t="s">
        <v>270</v>
      </c>
      <c r="B42" t="s">
        <v>271</v>
      </c>
      <c r="C42" t="s">
        <v>27</v>
      </c>
      <c r="D42" t="s">
        <v>21</v>
      </c>
      <c r="E42" s="1">
        <v>38211</v>
      </c>
      <c r="F42">
        <v>29.5</v>
      </c>
      <c r="G42" s="2">
        <v>24.9382581014963</v>
      </c>
      <c r="H42" s="2">
        <v>735.67861399414</v>
      </c>
      <c r="I42" t="s">
        <v>22</v>
      </c>
    </row>
    <row r="43" spans="1:9">
      <c r="A43" t="s">
        <v>282</v>
      </c>
      <c r="B43" t="s">
        <v>283</v>
      </c>
      <c r="C43" t="s">
        <v>27</v>
      </c>
      <c r="D43" t="s">
        <v>51</v>
      </c>
      <c r="E43" s="1">
        <v>37948</v>
      </c>
      <c r="F43">
        <v>40</v>
      </c>
      <c r="G43" s="2">
        <v>25.3452862696831</v>
      </c>
      <c r="H43" s="2">
        <v>1013.81145078732</v>
      </c>
      <c r="I43" t="s">
        <v>15</v>
      </c>
    </row>
    <row r="44" spans="1:9">
      <c r="A44" t="s">
        <v>18</v>
      </c>
      <c r="B44" t="s">
        <v>19</v>
      </c>
      <c r="C44" t="s">
        <v>20</v>
      </c>
      <c r="D44" t="s">
        <v>21</v>
      </c>
      <c r="E44" s="1">
        <v>40574</v>
      </c>
      <c r="F44">
        <v>35</v>
      </c>
      <c r="G44" s="2">
        <v>27.7308540634317</v>
      </c>
      <c r="H44" s="2">
        <v>970.57989222011</v>
      </c>
      <c r="I44" t="s">
        <v>22</v>
      </c>
    </row>
    <row r="45" spans="1:9">
      <c r="A45" t="s">
        <v>30</v>
      </c>
      <c r="B45" t="s">
        <v>31</v>
      </c>
      <c r="C45" t="s">
        <v>20</v>
      </c>
      <c r="D45" t="s">
        <v>14</v>
      </c>
      <c r="E45" s="1">
        <v>40095</v>
      </c>
      <c r="F45">
        <v>40</v>
      </c>
      <c r="G45" s="2">
        <v>29.6040358356933</v>
      </c>
      <c r="H45" s="2">
        <v>1184.16143342773</v>
      </c>
      <c r="I45" t="s">
        <v>15</v>
      </c>
    </row>
    <row r="46" spans="1:9">
      <c r="A46" t="s">
        <v>76</v>
      </c>
      <c r="B46" t="s">
        <v>77</v>
      </c>
      <c r="C46" t="s">
        <v>20</v>
      </c>
      <c r="D46" t="s">
        <v>59</v>
      </c>
      <c r="E46" s="1">
        <v>39259</v>
      </c>
      <c r="F46">
        <v>40</v>
      </c>
      <c r="G46" s="2">
        <v>24.122312108731</v>
      </c>
      <c r="H46" s="2">
        <v>964.89248434924</v>
      </c>
      <c r="I46" t="s">
        <v>15</v>
      </c>
    </row>
    <row r="47" spans="1:9">
      <c r="A47" t="s">
        <v>92</v>
      </c>
      <c r="B47" t="s">
        <v>93</v>
      </c>
      <c r="C47" t="s">
        <v>20</v>
      </c>
      <c r="D47" t="s">
        <v>21</v>
      </c>
      <c r="E47" s="1">
        <v>38202</v>
      </c>
      <c r="F47">
        <v>35.5</v>
      </c>
      <c r="G47" s="2">
        <v>23.5513467037949</v>
      </c>
      <c r="H47" s="2">
        <v>836.072807984721</v>
      </c>
      <c r="I47" t="s">
        <v>22</v>
      </c>
    </row>
    <row r="48" spans="1:9">
      <c r="A48" t="s">
        <v>96</v>
      </c>
      <c r="B48" t="s">
        <v>97</v>
      </c>
      <c r="C48" t="s">
        <v>20</v>
      </c>
      <c r="D48" t="s">
        <v>21</v>
      </c>
      <c r="E48" s="1">
        <v>39385</v>
      </c>
      <c r="F48">
        <v>38</v>
      </c>
      <c r="G48" s="2">
        <v>21.527759251738</v>
      </c>
      <c r="H48" s="2">
        <v>818.054851566046</v>
      </c>
      <c r="I48" t="s">
        <v>22</v>
      </c>
    </row>
    <row r="49" spans="1:9">
      <c r="A49" t="s">
        <v>100</v>
      </c>
      <c r="B49" t="s">
        <v>101</v>
      </c>
      <c r="C49" t="s">
        <v>20</v>
      </c>
      <c r="D49" t="s">
        <v>21</v>
      </c>
      <c r="E49" s="1">
        <v>37877</v>
      </c>
      <c r="F49">
        <v>40</v>
      </c>
      <c r="G49" s="2">
        <v>29.435165359699</v>
      </c>
      <c r="H49" s="2">
        <v>1177.40661438796</v>
      </c>
      <c r="I49" t="s">
        <v>15</v>
      </c>
    </row>
    <row r="50" spans="1:9">
      <c r="A50" t="s">
        <v>104</v>
      </c>
      <c r="B50" t="s">
        <v>105</v>
      </c>
      <c r="C50" t="s">
        <v>20</v>
      </c>
      <c r="D50" t="s">
        <v>21</v>
      </c>
      <c r="E50" s="1">
        <v>37779</v>
      </c>
      <c r="F50">
        <v>40</v>
      </c>
      <c r="G50" s="2">
        <v>28.5585427782549</v>
      </c>
      <c r="H50" s="2">
        <v>1142.3417111302</v>
      </c>
      <c r="I50" t="s">
        <v>15</v>
      </c>
    </row>
    <row r="51" spans="1:9">
      <c r="A51" t="s">
        <v>116</v>
      </c>
      <c r="B51" t="s">
        <v>117</v>
      </c>
      <c r="C51" t="s">
        <v>20</v>
      </c>
      <c r="D51" t="s">
        <v>21</v>
      </c>
      <c r="E51" s="1">
        <v>39807</v>
      </c>
      <c r="F51">
        <v>32</v>
      </c>
      <c r="G51" s="2">
        <v>29.9348706756959</v>
      </c>
      <c r="H51" s="2">
        <v>957.915861622268</v>
      </c>
      <c r="I51" t="s">
        <v>22</v>
      </c>
    </row>
    <row r="52" spans="1:9">
      <c r="A52" t="s">
        <v>120</v>
      </c>
      <c r="B52" t="s">
        <v>121</v>
      </c>
      <c r="C52" t="s">
        <v>20</v>
      </c>
      <c r="D52" t="s">
        <v>51</v>
      </c>
      <c r="E52" s="1">
        <v>39233</v>
      </c>
      <c r="F52">
        <v>35</v>
      </c>
      <c r="G52" s="2">
        <v>22.5344105761657</v>
      </c>
      <c r="H52" s="2">
        <v>788.704370165799</v>
      </c>
      <c r="I52" t="s">
        <v>22</v>
      </c>
    </row>
    <row r="53" spans="1:9">
      <c r="A53" t="s">
        <v>124</v>
      </c>
      <c r="B53" t="s">
        <v>125</v>
      </c>
      <c r="C53" t="s">
        <v>20</v>
      </c>
      <c r="D53" t="s">
        <v>59</v>
      </c>
      <c r="E53" s="1">
        <v>40155</v>
      </c>
      <c r="F53">
        <v>25</v>
      </c>
      <c r="G53" s="2">
        <v>22.0288511044065</v>
      </c>
      <c r="H53" s="2">
        <v>550.721277610162</v>
      </c>
      <c r="I53" t="s">
        <v>22</v>
      </c>
    </row>
    <row r="54" spans="1:9">
      <c r="A54" t="s">
        <v>128</v>
      </c>
      <c r="B54" t="s">
        <v>129</v>
      </c>
      <c r="C54" t="s">
        <v>20</v>
      </c>
      <c r="D54" t="s">
        <v>51</v>
      </c>
      <c r="E54" s="1">
        <v>38263</v>
      </c>
      <c r="F54">
        <v>40</v>
      </c>
      <c r="G54" s="2">
        <v>22.224435083452</v>
      </c>
      <c r="H54" s="2">
        <v>888.977403338081</v>
      </c>
      <c r="I54" t="s">
        <v>15</v>
      </c>
    </row>
    <row r="55" spans="1:9">
      <c r="A55" t="s">
        <v>148</v>
      </c>
      <c r="B55" t="s">
        <v>149</v>
      </c>
      <c r="C55" t="s">
        <v>20</v>
      </c>
      <c r="D55" t="s">
        <v>59</v>
      </c>
      <c r="E55" s="1">
        <v>39053</v>
      </c>
      <c r="F55">
        <v>32</v>
      </c>
      <c r="G55" s="2">
        <v>20.9360592580624</v>
      </c>
      <c r="H55" s="2">
        <v>669.953896257996</v>
      </c>
      <c r="I55" t="s">
        <v>22</v>
      </c>
    </row>
    <row r="56" spans="1:9">
      <c r="A56" t="s">
        <v>156</v>
      </c>
      <c r="B56" t="s">
        <v>157</v>
      </c>
      <c r="C56" t="s">
        <v>20</v>
      </c>
      <c r="D56" t="s">
        <v>59</v>
      </c>
      <c r="E56" s="1">
        <v>38727</v>
      </c>
      <c r="F56">
        <v>35</v>
      </c>
      <c r="G56" s="2">
        <v>26.870973454107</v>
      </c>
      <c r="H56" s="2">
        <v>940.484070893745</v>
      </c>
      <c r="I56" t="s">
        <v>22</v>
      </c>
    </row>
    <row r="57" spans="1:9">
      <c r="A57" t="s">
        <v>164</v>
      </c>
      <c r="B57" t="s">
        <v>165</v>
      </c>
      <c r="C57" t="s">
        <v>20</v>
      </c>
      <c r="D57" t="s">
        <v>51</v>
      </c>
      <c r="E57" s="1">
        <v>39430</v>
      </c>
      <c r="F57">
        <v>40</v>
      </c>
      <c r="G57" s="2">
        <v>22.0025822256507</v>
      </c>
      <c r="H57" s="2">
        <v>880.10328902603</v>
      </c>
      <c r="I57" t="s">
        <v>15</v>
      </c>
    </row>
    <row r="58" spans="1:9">
      <c r="A58" t="s">
        <v>168</v>
      </c>
      <c r="B58" t="s">
        <v>169</v>
      </c>
      <c r="C58" t="s">
        <v>20</v>
      </c>
      <c r="D58" t="s">
        <v>14</v>
      </c>
      <c r="E58" s="1">
        <v>38026</v>
      </c>
      <c r="F58">
        <v>40</v>
      </c>
      <c r="G58" s="2">
        <v>24.209926541516</v>
      </c>
      <c r="H58" s="2">
        <v>968.397061660642</v>
      </c>
      <c r="I58" t="s">
        <v>15</v>
      </c>
    </row>
    <row r="59" spans="1:9">
      <c r="A59" t="s">
        <v>172</v>
      </c>
      <c r="B59" t="s">
        <v>173</v>
      </c>
      <c r="C59" t="s">
        <v>20</v>
      </c>
      <c r="D59" t="s">
        <v>51</v>
      </c>
      <c r="E59" s="1">
        <v>39575</v>
      </c>
      <c r="F59">
        <v>40</v>
      </c>
      <c r="G59" s="2">
        <v>26.4166446930878</v>
      </c>
      <c r="H59" s="2">
        <v>1056.66578772351</v>
      </c>
      <c r="I59" t="s">
        <v>15</v>
      </c>
    </row>
    <row r="60" spans="1:9">
      <c r="A60" t="s">
        <v>193</v>
      </c>
      <c r="B60" t="s">
        <v>194</v>
      </c>
      <c r="C60" t="s">
        <v>20</v>
      </c>
      <c r="D60" t="s">
        <v>59</v>
      </c>
      <c r="E60" s="1">
        <v>39226</v>
      </c>
      <c r="F60">
        <v>25</v>
      </c>
      <c r="G60" s="2">
        <v>29.0167556854929</v>
      </c>
      <c r="H60" s="2">
        <v>725.418892137322</v>
      </c>
      <c r="I60" t="s">
        <v>22</v>
      </c>
    </row>
    <row r="61" spans="1:9">
      <c r="A61" t="s">
        <v>202</v>
      </c>
      <c r="B61" t="s">
        <v>203</v>
      </c>
      <c r="C61" t="s">
        <v>20</v>
      </c>
      <c r="D61" t="s">
        <v>51</v>
      </c>
      <c r="E61" s="1">
        <v>40135</v>
      </c>
      <c r="F61">
        <v>40</v>
      </c>
      <c r="G61" s="2">
        <v>23.7440482448647</v>
      </c>
      <c r="H61" s="2">
        <v>949.761929794589</v>
      </c>
      <c r="I61" t="s">
        <v>15</v>
      </c>
    </row>
    <row r="62" spans="1:9">
      <c r="A62" t="s">
        <v>204</v>
      </c>
      <c r="B62" t="s">
        <v>205</v>
      </c>
      <c r="C62" t="s">
        <v>20</v>
      </c>
      <c r="D62" t="s">
        <v>59</v>
      </c>
      <c r="E62" s="1">
        <v>38851</v>
      </c>
      <c r="F62">
        <v>40</v>
      </c>
      <c r="G62" s="2">
        <v>22.1172203389426</v>
      </c>
      <c r="H62" s="2">
        <v>884.688813557704</v>
      </c>
      <c r="I62" t="s">
        <v>15</v>
      </c>
    </row>
    <row r="63" spans="1:9">
      <c r="A63" t="s">
        <v>206</v>
      </c>
      <c r="B63" t="s">
        <v>207</v>
      </c>
      <c r="C63" t="s">
        <v>20</v>
      </c>
      <c r="D63" t="s">
        <v>21</v>
      </c>
      <c r="E63" s="1">
        <v>38995</v>
      </c>
      <c r="F63">
        <v>40</v>
      </c>
      <c r="G63" s="2">
        <v>28.5041873925272</v>
      </c>
      <c r="H63" s="2">
        <v>1140.16749570109</v>
      </c>
      <c r="I63" t="s">
        <v>15</v>
      </c>
    </row>
    <row r="64" spans="1:9">
      <c r="A64" t="s">
        <v>214</v>
      </c>
      <c r="B64" t="s">
        <v>215</v>
      </c>
      <c r="C64" t="s">
        <v>20</v>
      </c>
      <c r="D64" t="s">
        <v>14</v>
      </c>
      <c r="E64" s="1">
        <v>39238</v>
      </c>
      <c r="F64">
        <v>40</v>
      </c>
      <c r="G64" s="2">
        <v>26.7929940105714</v>
      </c>
      <c r="H64" s="2">
        <v>1071.71976042286</v>
      </c>
      <c r="I64" t="s">
        <v>15</v>
      </c>
    </row>
    <row r="65" spans="1:9">
      <c r="A65" t="s">
        <v>226</v>
      </c>
      <c r="B65" t="s">
        <v>227</v>
      </c>
      <c r="C65" t="s">
        <v>20</v>
      </c>
      <c r="D65" t="s">
        <v>14</v>
      </c>
      <c r="E65" s="1">
        <v>40397</v>
      </c>
      <c r="F65">
        <v>35</v>
      </c>
      <c r="G65" s="2">
        <v>26.1930616475145</v>
      </c>
      <c r="H65" s="2">
        <v>916.757157663007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250</v>
      </c>
      <c r="B68" t="s">
        <v>251</v>
      </c>
      <c r="C68" t="s">
        <v>20</v>
      </c>
      <c r="D68" t="s">
        <v>59</v>
      </c>
      <c r="E68" s="1">
        <v>38029</v>
      </c>
      <c r="F68">
        <v>25</v>
      </c>
      <c r="G68" s="2">
        <v>27.1249727517577</v>
      </c>
      <c r="H68" s="2">
        <v>678.124318793942</v>
      </c>
      <c r="I68" t="s">
        <v>22</v>
      </c>
    </row>
    <row r="69" spans="1:9">
      <c r="A69" t="s">
        <v>258</v>
      </c>
      <c r="B69" t="s">
        <v>259</v>
      </c>
      <c r="C69" t="s">
        <v>20</v>
      </c>
      <c r="D69" t="s">
        <v>21</v>
      </c>
      <c r="E69" s="1">
        <v>40035</v>
      </c>
      <c r="F69">
        <v>40</v>
      </c>
      <c r="G69" s="2">
        <v>24.7613808611318</v>
      </c>
      <c r="H69" s="2">
        <v>990.455234445274</v>
      </c>
      <c r="I69" t="s">
        <v>15</v>
      </c>
    </row>
    <row r="70" spans="1:9">
      <c r="A70" t="s">
        <v>278</v>
      </c>
      <c r="B70" t="s">
        <v>279</v>
      </c>
      <c r="C70" t="s">
        <v>20</v>
      </c>
      <c r="D70" t="s">
        <v>59</v>
      </c>
      <c r="E70" s="1">
        <v>38084</v>
      </c>
      <c r="F70">
        <v>38</v>
      </c>
      <c r="G70" s="2">
        <v>26.1580386214767</v>
      </c>
      <c r="H70" s="2">
        <v>994.005467616114</v>
      </c>
      <c r="I70" t="s">
        <v>22</v>
      </c>
    </row>
    <row r="71" spans="1:9">
      <c r="A71" t="s">
        <v>280</v>
      </c>
      <c r="B71" t="s">
        <v>281</v>
      </c>
      <c r="C71" t="s">
        <v>20</v>
      </c>
      <c r="D71" t="s">
        <v>14</v>
      </c>
      <c r="E71" s="1">
        <v>37112</v>
      </c>
      <c r="F71">
        <v>38</v>
      </c>
      <c r="G71" s="2">
        <v>29.9674239695174</v>
      </c>
      <c r="H71" s="2">
        <v>1138.76211084166</v>
      </c>
      <c r="I71" t="s">
        <v>22</v>
      </c>
    </row>
    <row r="72" spans="1:9">
      <c r="A72" t="s">
        <v>286</v>
      </c>
      <c r="B72" t="s">
        <v>287</v>
      </c>
      <c r="C72" t="s">
        <v>20</v>
      </c>
      <c r="D72" t="s">
        <v>14</v>
      </c>
      <c r="E72" s="1">
        <v>38533</v>
      </c>
      <c r="F72">
        <v>35.5</v>
      </c>
      <c r="G72" s="2">
        <v>23.9214244689799</v>
      </c>
      <c r="H72" s="2">
        <v>849.210568648788</v>
      </c>
      <c r="I72" t="s">
        <v>22</v>
      </c>
    </row>
    <row r="73" spans="1:9">
      <c r="A73" t="s">
        <v>290</v>
      </c>
      <c r="B73" t="s">
        <v>291</v>
      </c>
      <c r="C73" t="s">
        <v>20</v>
      </c>
      <c r="D73" t="s">
        <v>59</v>
      </c>
      <c r="E73" s="1">
        <v>40119</v>
      </c>
      <c r="F73">
        <v>35</v>
      </c>
      <c r="G73" s="2">
        <v>27.5256373926534</v>
      </c>
      <c r="H73" s="2">
        <v>963.397308742868</v>
      </c>
      <c r="I73" t="s">
        <v>22</v>
      </c>
    </row>
    <row r="74" spans="1:9">
      <c r="A74" t="s">
        <v>34</v>
      </c>
      <c r="B74" t="s">
        <v>35</v>
      </c>
      <c r="C74" t="s">
        <v>36</v>
      </c>
      <c r="D74" t="s">
        <v>14</v>
      </c>
      <c r="E74" s="1">
        <v>38863</v>
      </c>
      <c r="F74">
        <v>40</v>
      </c>
      <c r="G74" s="2">
        <v>20.2945957445476</v>
      </c>
      <c r="H74" s="2">
        <v>811.783829781904</v>
      </c>
      <c r="I74" t="s">
        <v>15</v>
      </c>
    </row>
    <row r="75" spans="1:9">
      <c r="A75" t="s">
        <v>49</v>
      </c>
      <c r="B75" t="s">
        <v>50</v>
      </c>
      <c r="C75" t="s">
        <v>36</v>
      </c>
      <c r="D75" t="s">
        <v>51</v>
      </c>
      <c r="E75" s="1">
        <v>38014</v>
      </c>
      <c r="F75">
        <v>40</v>
      </c>
      <c r="G75" s="2">
        <v>24.0625161257531</v>
      </c>
      <c r="H75" s="2">
        <v>962.500645030123</v>
      </c>
      <c r="I75" t="s">
        <v>15</v>
      </c>
    </row>
    <row r="76" spans="1:9">
      <c r="A76" t="s">
        <v>57</v>
      </c>
      <c r="B76" t="s">
        <v>58</v>
      </c>
      <c r="C76" t="s">
        <v>36</v>
      </c>
      <c r="D76" t="s">
        <v>59</v>
      </c>
      <c r="E76" s="1">
        <v>40636</v>
      </c>
      <c r="F76">
        <v>40</v>
      </c>
      <c r="G76" s="2">
        <v>26.2274469754406</v>
      </c>
      <c r="H76" s="2">
        <v>1049.09787901763</v>
      </c>
      <c r="I76" t="s">
        <v>15</v>
      </c>
    </row>
    <row r="77" spans="1:9">
      <c r="A77" t="s">
        <v>62</v>
      </c>
      <c r="B77" t="s">
        <v>63</v>
      </c>
      <c r="C77" t="s">
        <v>36</v>
      </c>
      <c r="D77" t="s">
        <v>59</v>
      </c>
      <c r="E77" s="1">
        <v>37299</v>
      </c>
      <c r="F77">
        <v>40</v>
      </c>
      <c r="G77" s="2">
        <v>20.4595521381667</v>
      </c>
      <c r="H77" s="2">
        <v>818.382085526669</v>
      </c>
      <c r="I77" t="s">
        <v>15</v>
      </c>
    </row>
    <row r="78" spans="1:9">
      <c r="A78" t="s">
        <v>65</v>
      </c>
      <c r="B78" t="s">
        <v>66</v>
      </c>
      <c r="C78" t="s">
        <v>36</v>
      </c>
      <c r="D78" t="s">
        <v>14</v>
      </c>
      <c r="E78" s="1">
        <v>39601</v>
      </c>
      <c r="F78">
        <v>40</v>
      </c>
      <c r="G78" s="2">
        <v>20.3846080101342</v>
      </c>
      <c r="H78" s="2">
        <v>815.384320405368</v>
      </c>
      <c r="I78" t="s">
        <v>15</v>
      </c>
    </row>
    <row r="79" spans="1:9">
      <c r="A79" t="s">
        <v>69</v>
      </c>
      <c r="B79" t="s">
        <v>70</v>
      </c>
      <c r="C79" t="s">
        <v>36</v>
      </c>
      <c r="D79" t="s">
        <v>59</v>
      </c>
      <c r="E79" s="1">
        <v>39051</v>
      </c>
      <c r="F79">
        <v>15.5</v>
      </c>
      <c r="G79" s="2">
        <v>23.8590814253866</v>
      </c>
      <c r="H79" s="2">
        <v>369.815762093492</v>
      </c>
      <c r="I79" t="s">
        <v>22</v>
      </c>
    </row>
    <row r="80" spans="1:9">
      <c r="A80" t="s">
        <v>88</v>
      </c>
      <c r="B80" t="s">
        <v>89</v>
      </c>
      <c r="C80" t="s">
        <v>36</v>
      </c>
      <c r="D80" t="s">
        <v>51</v>
      </c>
      <c r="E80" s="1">
        <v>38551</v>
      </c>
      <c r="F80">
        <v>40</v>
      </c>
      <c r="G80" s="2">
        <v>28.1837716768448</v>
      </c>
      <c r="H80" s="2">
        <v>1127.35086707379</v>
      </c>
      <c r="I80" t="s">
        <v>15</v>
      </c>
    </row>
    <row r="81" spans="1:9">
      <c r="A81" t="s">
        <v>187</v>
      </c>
      <c r="B81" t="s">
        <v>188</v>
      </c>
      <c r="C81" t="s">
        <v>36</v>
      </c>
      <c r="D81" t="s">
        <v>21</v>
      </c>
      <c r="E81" s="1">
        <v>39251</v>
      </c>
      <c r="F81">
        <v>40</v>
      </c>
      <c r="G81" s="2">
        <v>24.7208809045488</v>
      </c>
      <c r="H81" s="2">
        <v>988.835236181952</v>
      </c>
      <c r="I81" t="s">
        <v>15</v>
      </c>
    </row>
    <row r="82" spans="1:9">
      <c r="A82" t="s">
        <v>190</v>
      </c>
      <c r="B82" t="s">
        <v>191</v>
      </c>
      <c r="C82" t="s">
        <v>36</v>
      </c>
      <c r="D82" t="s">
        <v>14</v>
      </c>
      <c r="E82" s="1">
        <v>39925</v>
      </c>
      <c r="F82">
        <v>15.5</v>
      </c>
      <c r="G82" s="2">
        <v>22.0461359567629</v>
      </c>
      <c r="H82" s="2">
        <v>341.715107329824</v>
      </c>
      <c r="I82" t="s">
        <v>22</v>
      </c>
    </row>
    <row r="83" spans="1:9">
      <c r="A83" t="s">
        <v>196</v>
      </c>
      <c r="B83" t="s">
        <v>197</v>
      </c>
      <c r="C83" t="s">
        <v>36</v>
      </c>
      <c r="D83" t="s">
        <v>14</v>
      </c>
      <c r="E83" s="1">
        <v>40561</v>
      </c>
      <c r="F83">
        <v>40</v>
      </c>
      <c r="G83" s="2">
        <v>27.3588677466791</v>
      </c>
      <c r="H83" s="2">
        <v>1094.35470986716</v>
      </c>
      <c r="I83" t="s">
        <v>15</v>
      </c>
    </row>
    <row r="84" spans="1:9">
      <c r="A84" t="s">
        <v>198</v>
      </c>
      <c r="B84" t="s">
        <v>199</v>
      </c>
      <c r="C84" t="s">
        <v>36</v>
      </c>
      <c r="D84" t="s">
        <v>14</v>
      </c>
      <c r="E84" s="1">
        <v>38080</v>
      </c>
      <c r="F84">
        <v>40</v>
      </c>
      <c r="G84" s="2">
        <v>23.5591787626696</v>
      </c>
      <c r="H84" s="2">
        <v>942.367150506783</v>
      </c>
      <c r="I84" t="s">
        <v>15</v>
      </c>
    </row>
    <row r="85" spans="1:9">
      <c r="A85" t="s">
        <v>218</v>
      </c>
      <c r="B85" t="s">
        <v>219</v>
      </c>
      <c r="C85" t="s">
        <v>36</v>
      </c>
      <c r="D85" t="s">
        <v>14</v>
      </c>
      <c r="E85" s="1">
        <v>39138</v>
      </c>
      <c r="F85">
        <v>15.5</v>
      </c>
      <c r="G85" s="2">
        <v>26.3802017837466</v>
      </c>
      <c r="H85" s="2">
        <v>408.893127648072</v>
      </c>
      <c r="I85" t="s">
        <v>22</v>
      </c>
    </row>
    <row r="86" spans="1:9">
      <c r="A86" t="s">
        <v>220</v>
      </c>
      <c r="B86" t="s">
        <v>221</v>
      </c>
      <c r="C86" t="s">
        <v>36</v>
      </c>
      <c r="D86" t="s">
        <v>14</v>
      </c>
      <c r="E86" s="1">
        <v>38217</v>
      </c>
      <c r="F86">
        <v>40</v>
      </c>
      <c r="G86" s="2">
        <v>29.4332293587101</v>
      </c>
      <c r="H86" s="2">
        <v>1177.32917434841</v>
      </c>
      <c r="I86" t="s">
        <v>15</v>
      </c>
    </row>
    <row r="87" spans="1:9">
      <c r="A87" t="s">
        <v>240</v>
      </c>
      <c r="B87" t="s">
        <v>241</v>
      </c>
      <c r="C87" t="s">
        <v>36</v>
      </c>
      <c r="D87" t="s">
        <v>21</v>
      </c>
      <c r="E87" s="1">
        <v>39770</v>
      </c>
      <c r="F87">
        <v>35</v>
      </c>
      <c r="G87" s="2">
        <v>20.9514694627171</v>
      </c>
      <c r="H87" s="2">
        <v>733.301431195098</v>
      </c>
      <c r="I87" t="s">
        <v>22</v>
      </c>
    </row>
    <row r="88" spans="1:9">
      <c r="A88" t="s">
        <v>244</v>
      </c>
      <c r="B88" t="s">
        <v>245</v>
      </c>
      <c r="C88" t="s">
        <v>36</v>
      </c>
      <c r="D88" t="s">
        <v>51</v>
      </c>
      <c r="E88" s="1">
        <v>38990</v>
      </c>
      <c r="F88">
        <v>40</v>
      </c>
      <c r="G88" s="2">
        <v>26.6733350813367</v>
      </c>
      <c r="H88" s="2">
        <v>1066.93340325347</v>
      </c>
      <c r="I88" t="s">
        <v>15</v>
      </c>
    </row>
    <row r="89" spans="1:9">
      <c r="A89" t="s">
        <v>246</v>
      </c>
      <c r="B89" t="s">
        <v>247</v>
      </c>
      <c r="C89" t="s">
        <v>36</v>
      </c>
      <c r="D89" t="s">
        <v>51</v>
      </c>
      <c r="E89" s="1">
        <v>38288</v>
      </c>
      <c r="F89">
        <v>40</v>
      </c>
      <c r="G89" s="2">
        <v>23.270898653239</v>
      </c>
      <c r="H89" s="2">
        <v>930.835946129561</v>
      </c>
      <c r="I89" t="s">
        <v>15</v>
      </c>
    </row>
    <row r="90" spans="1:9">
      <c r="A90" t="s">
        <v>264</v>
      </c>
      <c r="B90" t="s">
        <v>265</v>
      </c>
      <c r="C90" t="s">
        <v>36</v>
      </c>
      <c r="D90" t="s">
        <v>14</v>
      </c>
      <c r="E90" s="1">
        <v>36948</v>
      </c>
      <c r="F90">
        <v>15.5</v>
      </c>
      <c r="G90" s="2">
        <v>27.0324725336245</v>
      </c>
      <c r="H90" s="2">
        <v>419.003324271179</v>
      </c>
      <c r="I90" t="s">
        <v>22</v>
      </c>
    </row>
    <row r="91" spans="1:9">
      <c r="A91" t="s">
        <v>272</v>
      </c>
      <c r="B91" t="s">
        <v>273</v>
      </c>
      <c r="C91" t="s">
        <v>36</v>
      </c>
      <c r="D91" t="s">
        <v>21</v>
      </c>
      <c r="E91" s="1">
        <v>39435</v>
      </c>
      <c r="F91">
        <v>40</v>
      </c>
      <c r="G91" s="2">
        <v>21.9331419032506</v>
      </c>
      <c r="H91" s="2">
        <v>877.325676130023</v>
      </c>
      <c r="I91" t="s">
        <v>15</v>
      </c>
    </row>
    <row r="92" spans="1:9">
      <c r="A92" t="s">
        <v>274</v>
      </c>
      <c r="B92" t="s">
        <v>275</v>
      </c>
      <c r="C92" t="s">
        <v>36</v>
      </c>
      <c r="D92" t="s">
        <v>14</v>
      </c>
      <c r="E92" s="1">
        <v>40417</v>
      </c>
      <c r="F92">
        <v>15.5</v>
      </c>
      <c r="G92" s="2">
        <v>22.2269085765447</v>
      </c>
      <c r="H92" s="2">
        <v>344.517082936443</v>
      </c>
      <c r="I92" t="s">
        <v>22</v>
      </c>
    </row>
    <row r="93" spans="1:9">
      <c r="A93" t="s">
        <v>276</v>
      </c>
      <c r="B93" t="s">
        <v>277</v>
      </c>
      <c r="C93" t="s">
        <v>36</v>
      </c>
      <c r="D93" t="s">
        <v>21</v>
      </c>
      <c r="E93" s="1">
        <v>38880</v>
      </c>
      <c r="F93">
        <v>40</v>
      </c>
      <c r="G93" s="2">
        <v>28.5121956001453</v>
      </c>
      <c r="H93" s="2">
        <v>1140.48782400581</v>
      </c>
      <c r="I93" t="s">
        <v>15</v>
      </c>
    </row>
    <row r="94" spans="1:9">
      <c r="A94" t="s">
        <v>284</v>
      </c>
      <c r="B94" t="s">
        <v>285</v>
      </c>
      <c r="C94" t="s">
        <v>36</v>
      </c>
      <c r="D94" t="s">
        <v>14</v>
      </c>
      <c r="E94" s="1">
        <v>39059</v>
      </c>
      <c r="F94">
        <v>40</v>
      </c>
      <c r="G94" s="2">
        <v>25.6019372294119</v>
      </c>
      <c r="H94" s="2">
        <v>1024.07748917648</v>
      </c>
      <c r="I94" t="s">
        <v>15</v>
      </c>
    </row>
    <row r="95" spans="1:9">
      <c r="A95" t="s">
        <v>288</v>
      </c>
      <c r="B95" t="s">
        <v>289</v>
      </c>
      <c r="C95" t="s">
        <v>36</v>
      </c>
      <c r="D95" t="s">
        <v>59</v>
      </c>
      <c r="E95" s="1">
        <v>38744</v>
      </c>
      <c r="F95">
        <v>35</v>
      </c>
      <c r="G95" s="2">
        <v>20.3208991153415</v>
      </c>
      <c r="H95" s="2">
        <v>711.231469036951</v>
      </c>
      <c r="I95" t="s">
        <v>22</v>
      </c>
    </row>
  </sheetData>
  <sortState ref="A2:I95">
    <sortCondition ref="C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9"/>
  <sheetViews>
    <sheetView topLeftCell="C1" workbookViewId="0">
      <pane ySplit="1" topLeftCell="A2" activePane="bottomLeft" state="frozen"/>
      <selection/>
      <selection pane="bottomLeft" activeCell="H2" sqref="H2"/>
    </sheetView>
  </sheetViews>
  <sheetFormatPr defaultColWidth="8.88888888888889" defaultRowHeight="14.4"/>
  <cols>
    <col min="5" max="5" width="14.5555555555556" customWidth="1"/>
    <col min="7" max="7" width="16.2222222222222" customWidth="1"/>
    <col min="8" max="8" width="15.4259259259259" customWidth="1"/>
    <col min="10" max="10" width="12.6666666666667" customWidth="1"/>
    <col min="15" max="15" width="65.6666666666667" customWidth="1"/>
    <col min="16" max="16" width="28.4444444444444" customWidth="1"/>
    <col min="17" max="17" width="25.7777777777778" customWidth="1"/>
    <col min="19" max="19" width="13.3333333333333" customWidth="1"/>
  </cols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299</v>
      </c>
      <c r="O1" t="s">
        <v>300</v>
      </c>
    </row>
    <row r="2" spans="1:16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  <c r="J2" t="str">
        <f>IF(G2&gt;=O99,"Above Market","Below Market")</f>
        <v>Above Market</v>
      </c>
      <c r="O2" t="s">
        <v>301</v>
      </c>
      <c r="P2" s="2">
        <f>SUM(G2:G95)/94</f>
        <v>24.9740132527256</v>
      </c>
    </row>
    <row r="3" spans="1:15">
      <c r="A3" t="s">
        <v>18</v>
      </c>
      <c r="B3" t="s">
        <v>19</v>
      </c>
      <c r="C3" t="s">
        <v>20</v>
      </c>
      <c r="D3" t="s">
        <v>21</v>
      </c>
      <c r="E3" s="1">
        <v>40574</v>
      </c>
      <c r="F3">
        <v>35</v>
      </c>
      <c r="G3" s="2">
        <v>27.7308540634317</v>
      </c>
      <c r="H3" s="2">
        <v>970.57989222011</v>
      </c>
      <c r="I3" t="s">
        <v>22</v>
      </c>
      <c r="J3" t="str">
        <f>IF(G3&gt;=O99,"Above Market","Below Market")</f>
        <v>Above Market</v>
      </c>
      <c r="O3" s="2"/>
    </row>
    <row r="4" spans="1:10">
      <c r="A4" t="s">
        <v>25</v>
      </c>
      <c r="B4" t="s">
        <v>26</v>
      </c>
      <c r="C4" t="s">
        <v>27</v>
      </c>
      <c r="D4" t="s">
        <v>14</v>
      </c>
      <c r="E4" s="1">
        <v>39089</v>
      </c>
      <c r="F4">
        <v>42</v>
      </c>
      <c r="G4" s="2">
        <v>23.2385457007659</v>
      </c>
      <c r="H4" s="2">
        <v>976.018919432168</v>
      </c>
      <c r="I4" t="s">
        <v>15</v>
      </c>
      <c r="J4" t="str">
        <f>IF(G4&gt;=O99,"Above Market","Below Market")</f>
        <v>Below Market</v>
      </c>
    </row>
    <row r="5" spans="1:17">
      <c r="A5" t="s">
        <v>30</v>
      </c>
      <c r="B5" t="s">
        <v>31</v>
      </c>
      <c r="C5" t="s">
        <v>20</v>
      </c>
      <c r="D5" t="s">
        <v>14</v>
      </c>
      <c r="E5" s="1">
        <v>40095</v>
      </c>
      <c r="F5">
        <v>40</v>
      </c>
      <c r="G5" s="2">
        <v>29.6040358356933</v>
      </c>
      <c r="H5" s="2">
        <v>1184.16143342773</v>
      </c>
      <c r="I5" t="s">
        <v>15</v>
      </c>
      <c r="J5"/>
      <c r="O5" t="s">
        <v>302</v>
      </c>
      <c r="P5">
        <f>MAX(H2:H95)</f>
        <v>1187.47729555188</v>
      </c>
      <c r="Q5">
        <f>MIN(H2:H95)</f>
        <v>341.715107329824</v>
      </c>
    </row>
    <row r="6" spans="1:17">
      <c r="A6" t="s">
        <v>34</v>
      </c>
      <c r="B6" t="s">
        <v>35</v>
      </c>
      <c r="C6" t="s">
        <v>36</v>
      </c>
      <c r="D6" t="s">
        <v>14</v>
      </c>
      <c r="E6" s="1">
        <v>38863</v>
      </c>
      <c r="F6">
        <v>40</v>
      </c>
      <c r="G6" s="2">
        <v>20.2945957445476</v>
      </c>
      <c r="H6" s="2">
        <v>811.783829781904</v>
      </c>
      <c r="I6" t="s">
        <v>15</v>
      </c>
      <c r="J6"/>
      <c r="O6" t="s">
        <v>303</v>
      </c>
      <c r="P6" t="s">
        <v>304</v>
      </c>
      <c r="Q6" t="s">
        <v>22</v>
      </c>
    </row>
    <row r="7" spans="1:17">
      <c r="A7" t="s">
        <v>38</v>
      </c>
      <c r="B7" t="s">
        <v>39</v>
      </c>
      <c r="C7" t="s">
        <v>27</v>
      </c>
      <c r="D7" t="s">
        <v>21</v>
      </c>
      <c r="E7" s="1">
        <v>39329</v>
      </c>
      <c r="F7">
        <v>29.5</v>
      </c>
      <c r="G7" s="2">
        <v>22.5040616496157</v>
      </c>
      <c r="H7" s="2">
        <v>663.869818663664</v>
      </c>
      <c r="I7" t="s">
        <v>22</v>
      </c>
      <c r="J7"/>
      <c r="P7" s="10" t="s">
        <v>305</v>
      </c>
      <c r="Q7" s="10" t="s">
        <v>306</v>
      </c>
    </row>
    <row r="8" spans="1:9">
      <c r="A8" t="s">
        <v>42</v>
      </c>
      <c r="B8" t="s">
        <v>43</v>
      </c>
      <c r="C8" t="s">
        <v>27</v>
      </c>
      <c r="D8" t="s">
        <v>14</v>
      </c>
      <c r="E8" s="1">
        <v>38372</v>
      </c>
      <c r="F8">
        <v>35.5</v>
      </c>
      <c r="G8" s="2">
        <v>23.7146915473977</v>
      </c>
      <c r="H8" s="2">
        <v>841.87154993262</v>
      </c>
      <c r="I8" t="s">
        <v>22</v>
      </c>
    </row>
    <row r="9" spans="1:9">
      <c r="A9" t="s">
        <v>46</v>
      </c>
      <c r="B9" t="s">
        <v>47</v>
      </c>
      <c r="C9" t="s">
        <v>27</v>
      </c>
      <c r="D9" t="s">
        <v>21</v>
      </c>
      <c r="E9" s="1">
        <v>37721</v>
      </c>
      <c r="F9">
        <v>40</v>
      </c>
      <c r="G9" s="2">
        <v>24.6342558337354</v>
      </c>
      <c r="H9" s="2">
        <v>985.370233349417</v>
      </c>
      <c r="I9" t="s">
        <v>15</v>
      </c>
    </row>
    <row r="10" ht="15.6" spans="1:16">
      <c r="A10" t="s">
        <v>49</v>
      </c>
      <c r="B10" t="s">
        <v>50</v>
      </c>
      <c r="C10" t="s">
        <v>36</v>
      </c>
      <c r="D10" t="s">
        <v>51</v>
      </c>
      <c r="E10" s="1">
        <v>38014</v>
      </c>
      <c r="F10">
        <v>40</v>
      </c>
      <c r="G10" s="2">
        <v>24.0625161257531</v>
      </c>
      <c r="H10" s="2">
        <v>962.500645030123</v>
      </c>
      <c r="I10" t="s">
        <v>15</v>
      </c>
      <c r="J10"/>
      <c r="O10" s="3" t="s">
        <v>98</v>
      </c>
      <c r="P10" s="10" t="s">
        <v>307</v>
      </c>
    </row>
    <row r="11" ht="15.6" spans="1:15">
      <c r="A11" t="s">
        <v>54</v>
      </c>
      <c r="B11" t="s">
        <v>55</v>
      </c>
      <c r="C11" t="s">
        <v>27</v>
      </c>
      <c r="D11" t="s">
        <v>14</v>
      </c>
      <c r="E11" s="1">
        <v>39406</v>
      </c>
      <c r="F11">
        <v>35.5</v>
      </c>
      <c r="G11" s="2">
        <v>22.4745266505368</v>
      </c>
      <c r="H11" s="2">
        <v>797.845696094057</v>
      </c>
      <c r="I11" t="s">
        <v>22</v>
      </c>
      <c r="J11"/>
      <c r="O11" s="4" t="s">
        <v>102</v>
      </c>
    </row>
    <row r="12" ht="15.6" spans="1:15">
      <c r="A12" t="s">
        <v>57</v>
      </c>
      <c r="B12" t="s">
        <v>58</v>
      </c>
      <c r="C12" t="s">
        <v>36</v>
      </c>
      <c r="D12" t="s">
        <v>59</v>
      </c>
      <c r="E12" s="1">
        <v>40636</v>
      </c>
      <c r="F12">
        <v>40</v>
      </c>
      <c r="G12" s="2">
        <v>26.2274469754406</v>
      </c>
      <c r="H12" s="2">
        <v>1049.09787901763</v>
      </c>
      <c r="I12" t="s">
        <v>15</v>
      </c>
      <c r="J12"/>
      <c r="O12" s="4" t="s">
        <v>106</v>
      </c>
    </row>
    <row r="13" ht="15.6" spans="1:15">
      <c r="A13" t="s">
        <v>62</v>
      </c>
      <c r="B13" t="s">
        <v>63</v>
      </c>
      <c r="C13" t="s">
        <v>36</v>
      </c>
      <c r="D13" t="s">
        <v>59</v>
      </c>
      <c r="E13" s="1">
        <v>37299</v>
      </c>
      <c r="F13">
        <v>40</v>
      </c>
      <c r="G13" s="2">
        <v>20.4595521381667</v>
      </c>
      <c r="H13" s="2">
        <v>818.382085526669</v>
      </c>
      <c r="I13" t="s">
        <v>15</v>
      </c>
      <c r="J13"/>
      <c r="O13" s="4" t="s">
        <v>110</v>
      </c>
    </row>
    <row r="14" spans="1:9">
      <c r="A14" t="s">
        <v>65</v>
      </c>
      <c r="B14" t="s">
        <v>66</v>
      </c>
      <c r="C14" t="s">
        <v>36</v>
      </c>
      <c r="D14" t="s">
        <v>14</v>
      </c>
      <c r="E14" s="1">
        <v>39601</v>
      </c>
      <c r="F14">
        <v>40</v>
      </c>
      <c r="G14" s="2">
        <v>20.3846080101342</v>
      </c>
      <c r="H14" s="2">
        <v>815.384320405368</v>
      </c>
      <c r="I14" t="s">
        <v>15</v>
      </c>
    </row>
    <row r="15" spans="1:16">
      <c r="A15" t="s">
        <v>69</v>
      </c>
      <c r="B15" t="s">
        <v>70</v>
      </c>
      <c r="C15" t="s">
        <v>36</v>
      </c>
      <c r="D15" t="s">
        <v>59</v>
      </c>
      <c r="E15" s="1">
        <v>39051</v>
      </c>
      <c r="F15">
        <v>15.5</v>
      </c>
      <c r="G15" s="2">
        <v>23.8590814253866</v>
      </c>
      <c r="H15" s="2">
        <v>369.815762093492</v>
      </c>
      <c r="I15" t="s">
        <v>22</v>
      </c>
      <c r="J15"/>
      <c r="O15" t="s">
        <v>308</v>
      </c>
      <c r="P15">
        <f>COUNTIFS(E2:E96,"&gt;01.01.2010")</f>
        <v>15</v>
      </c>
    </row>
    <row r="16" spans="1:16">
      <c r="A16" t="s">
        <v>72</v>
      </c>
      <c r="B16" t="s">
        <v>73</v>
      </c>
      <c r="C16" t="s">
        <v>13</v>
      </c>
      <c r="D16" t="s">
        <v>59</v>
      </c>
      <c r="E16" s="1">
        <v>39223</v>
      </c>
      <c r="F16">
        <v>38</v>
      </c>
      <c r="G16" s="2">
        <v>26.2234936764226</v>
      </c>
      <c r="H16" s="2">
        <v>996.49275970406</v>
      </c>
      <c r="I16" t="s">
        <v>22</v>
      </c>
      <c r="J16"/>
      <c r="O16" t="s">
        <v>309</v>
      </c>
      <c r="P16" t="s">
        <v>310</v>
      </c>
    </row>
    <row r="17" spans="1:17">
      <c r="A17" t="s">
        <v>76</v>
      </c>
      <c r="B17" t="s">
        <v>77</v>
      </c>
      <c r="C17" t="s">
        <v>20</v>
      </c>
      <c r="D17" t="s">
        <v>59</v>
      </c>
      <c r="E17" s="1">
        <v>39259</v>
      </c>
      <c r="F17">
        <v>40</v>
      </c>
      <c r="G17" s="2">
        <v>24.122312108731</v>
      </c>
      <c r="H17" s="2">
        <v>964.89248434924</v>
      </c>
      <c r="I17" t="s">
        <v>15</v>
      </c>
      <c r="J17"/>
      <c r="P17" s="5">
        <f>MAX(E2:E95)</f>
        <v>41968</v>
      </c>
      <c r="Q17" s="5">
        <f>MIN(E2:E95)</f>
        <v>36264</v>
      </c>
    </row>
    <row r="18" spans="1:9">
      <c r="A18" t="s">
        <v>80</v>
      </c>
      <c r="B18" t="s">
        <v>81</v>
      </c>
      <c r="C18" t="s">
        <v>27</v>
      </c>
      <c r="D18" t="s">
        <v>14</v>
      </c>
      <c r="E18" s="1">
        <v>40108</v>
      </c>
      <c r="F18">
        <v>40</v>
      </c>
      <c r="G18" s="2">
        <v>27.4278911367849</v>
      </c>
      <c r="H18" s="2">
        <v>1097.11564547139</v>
      </c>
      <c r="I18" t="s">
        <v>15</v>
      </c>
    </row>
    <row r="19" spans="1:9">
      <c r="A19" t="s">
        <v>84</v>
      </c>
      <c r="B19" t="s">
        <v>85</v>
      </c>
      <c r="C19" t="s">
        <v>13</v>
      </c>
      <c r="D19" t="s">
        <v>14</v>
      </c>
      <c r="E19" s="1">
        <v>39865</v>
      </c>
      <c r="F19">
        <v>35</v>
      </c>
      <c r="G19" s="2">
        <v>24.9864365543203</v>
      </c>
      <c r="H19" s="2">
        <v>874.525279401211</v>
      </c>
      <c r="I19" t="s">
        <v>22</v>
      </c>
    </row>
    <row r="20" ht="15.6" spans="1:15">
      <c r="A20" t="s">
        <v>88</v>
      </c>
      <c r="B20" t="s">
        <v>89</v>
      </c>
      <c r="C20" t="s">
        <v>36</v>
      </c>
      <c r="D20" t="s">
        <v>51</v>
      </c>
      <c r="E20" s="1">
        <v>38551</v>
      </c>
      <c r="F20">
        <v>40</v>
      </c>
      <c r="G20" s="2">
        <v>28.1837716768448</v>
      </c>
      <c r="H20" s="2">
        <v>1127.35086707379</v>
      </c>
      <c r="I20" t="s">
        <v>15</v>
      </c>
      <c r="J20"/>
      <c r="O20" s="3" t="s">
        <v>146</v>
      </c>
    </row>
    <row r="21" ht="15.6" spans="1:15">
      <c r="A21" t="s">
        <v>92</v>
      </c>
      <c r="B21" t="s">
        <v>93</v>
      </c>
      <c r="C21" t="s">
        <v>20</v>
      </c>
      <c r="D21" t="s">
        <v>21</v>
      </c>
      <c r="E21" s="1">
        <v>38202</v>
      </c>
      <c r="F21">
        <v>35.5</v>
      </c>
      <c r="G21" s="2">
        <v>23.5513467037949</v>
      </c>
      <c r="H21" s="2">
        <v>836.072807984721</v>
      </c>
      <c r="I21" t="s">
        <v>22</v>
      </c>
      <c r="J21"/>
      <c r="O21" s="4" t="s">
        <v>150</v>
      </c>
    </row>
    <row r="22" ht="15.6" spans="1:15">
      <c r="A22" t="s">
        <v>96</v>
      </c>
      <c r="B22" t="s">
        <v>97</v>
      </c>
      <c r="C22" t="s">
        <v>20</v>
      </c>
      <c r="D22" t="s">
        <v>21</v>
      </c>
      <c r="E22" s="1">
        <v>39385</v>
      </c>
      <c r="F22">
        <v>38</v>
      </c>
      <c r="G22" s="2">
        <v>21.527759251738</v>
      </c>
      <c r="H22" s="2">
        <v>818.054851566046</v>
      </c>
      <c r="I22" t="s">
        <v>22</v>
      </c>
      <c r="J22"/>
      <c r="O22" s="4" t="s">
        <v>154</v>
      </c>
    </row>
    <row r="23" spans="1:9">
      <c r="A23" t="s">
        <v>100</v>
      </c>
      <c r="B23" t="s">
        <v>101</v>
      </c>
      <c r="C23" t="s">
        <v>20</v>
      </c>
      <c r="D23" t="s">
        <v>21</v>
      </c>
      <c r="E23" s="1">
        <v>37877</v>
      </c>
      <c r="F23">
        <v>40</v>
      </c>
      <c r="G23" s="2">
        <v>29.435165359699</v>
      </c>
      <c r="H23" s="2">
        <v>1177.40661438796</v>
      </c>
      <c r="I23" t="s">
        <v>15</v>
      </c>
    </row>
    <row r="24" spans="1:9">
      <c r="A24" t="s">
        <v>104</v>
      </c>
      <c r="B24" t="s">
        <v>105</v>
      </c>
      <c r="C24" t="s">
        <v>20</v>
      </c>
      <c r="D24" t="s">
        <v>21</v>
      </c>
      <c r="E24" s="1">
        <v>37779</v>
      </c>
      <c r="F24">
        <v>40</v>
      </c>
      <c r="G24" s="2">
        <v>28.5585427782549</v>
      </c>
      <c r="H24" s="2">
        <v>1142.3417111302</v>
      </c>
      <c r="I24" t="s">
        <v>15</v>
      </c>
    </row>
    <row r="25" spans="1:20">
      <c r="A25" t="s">
        <v>108</v>
      </c>
      <c r="B25" t="s">
        <v>109</v>
      </c>
      <c r="C25" t="s">
        <v>13</v>
      </c>
      <c r="D25" t="s">
        <v>21</v>
      </c>
      <c r="E25" s="1">
        <v>40611</v>
      </c>
      <c r="F25">
        <v>35</v>
      </c>
      <c r="G25" s="2">
        <v>21.3408234410477</v>
      </c>
      <c r="H25" s="2">
        <v>746.928820436669</v>
      </c>
      <c r="I25" t="s">
        <v>22</v>
      </c>
      <c r="J25"/>
      <c r="O25" t="s">
        <v>311</v>
      </c>
      <c r="P25" s="6" t="s">
        <v>13</v>
      </c>
      <c r="Q25" s="6" t="s">
        <v>312</v>
      </c>
      <c r="R25" s="6" t="s">
        <v>27</v>
      </c>
      <c r="S25" s="6" t="s">
        <v>36</v>
      </c>
      <c r="T25" s="6"/>
    </row>
    <row r="26" spans="1:19">
      <c r="A26" t="s">
        <v>112</v>
      </c>
      <c r="B26" t="s">
        <v>113</v>
      </c>
      <c r="C26" t="s">
        <v>13</v>
      </c>
      <c r="D26" t="s">
        <v>21</v>
      </c>
      <c r="E26" s="1">
        <v>38808</v>
      </c>
      <c r="F26">
        <v>25</v>
      </c>
      <c r="G26" s="2">
        <v>26.7983252095194</v>
      </c>
      <c r="H26" s="2">
        <v>669.958130237985</v>
      </c>
      <c r="I26" t="s">
        <v>22</v>
      </c>
      <c r="J26"/>
      <c r="P26" s="6">
        <f>COUNTIF(C3:C96,"California")</f>
        <v>14</v>
      </c>
      <c r="Q26" s="6">
        <f>COUNTIF(C3:C96,"New Jersey")</f>
        <v>30</v>
      </c>
      <c r="R26" s="6">
        <f>COUNTIF(C3:C96,"Georgia")</f>
        <v>27</v>
      </c>
      <c r="S26" s="6">
        <f>COUNTIF(C3:C96,"Washington")</f>
        <v>22</v>
      </c>
    </row>
    <row r="27" spans="1:9">
      <c r="A27" t="s">
        <v>116</v>
      </c>
      <c r="B27" t="s">
        <v>117</v>
      </c>
      <c r="C27" t="s">
        <v>20</v>
      </c>
      <c r="D27" t="s">
        <v>21</v>
      </c>
      <c r="E27" s="1">
        <v>39807</v>
      </c>
      <c r="F27">
        <v>32</v>
      </c>
      <c r="G27" s="2">
        <v>29.9348706756959</v>
      </c>
      <c r="H27" s="2">
        <v>957.915861622268</v>
      </c>
      <c r="I27" t="s">
        <v>22</v>
      </c>
    </row>
    <row r="28" spans="1:9">
      <c r="A28" t="s">
        <v>120</v>
      </c>
      <c r="B28" t="s">
        <v>121</v>
      </c>
      <c r="C28" t="s">
        <v>20</v>
      </c>
      <c r="D28" t="s">
        <v>51</v>
      </c>
      <c r="E28" s="1">
        <v>39233</v>
      </c>
      <c r="F28">
        <v>35</v>
      </c>
      <c r="G28" s="2">
        <v>22.5344105761657</v>
      </c>
      <c r="H28" s="2">
        <v>788.704370165799</v>
      </c>
      <c r="I28" t="s">
        <v>22</v>
      </c>
    </row>
    <row r="29" spans="1:9">
      <c r="A29" t="s">
        <v>124</v>
      </c>
      <c r="B29" t="s">
        <v>125</v>
      </c>
      <c r="C29" t="s">
        <v>20</v>
      </c>
      <c r="D29" t="s">
        <v>59</v>
      </c>
      <c r="E29" s="1">
        <v>40155</v>
      </c>
      <c r="F29">
        <v>25</v>
      </c>
      <c r="G29" s="2">
        <v>22.0288511044065</v>
      </c>
      <c r="H29" s="2">
        <v>550.721277610162</v>
      </c>
      <c r="I29" t="s">
        <v>22</v>
      </c>
    </row>
    <row r="30" spans="1:9">
      <c r="A30" t="s">
        <v>128</v>
      </c>
      <c r="B30" t="s">
        <v>129</v>
      </c>
      <c r="C30" t="s">
        <v>20</v>
      </c>
      <c r="D30" t="s">
        <v>51</v>
      </c>
      <c r="E30" s="1">
        <v>38263</v>
      </c>
      <c r="F30">
        <v>40</v>
      </c>
      <c r="G30" s="2">
        <v>22.224435083452</v>
      </c>
      <c r="H30" s="2">
        <v>888.977403338081</v>
      </c>
      <c r="I30" t="s">
        <v>15</v>
      </c>
    </row>
    <row r="31" spans="1:16">
      <c r="A31" t="s">
        <v>132</v>
      </c>
      <c r="B31" t="s">
        <v>133</v>
      </c>
      <c r="C31" t="s">
        <v>27</v>
      </c>
      <c r="D31" t="s">
        <v>14</v>
      </c>
      <c r="E31" s="1">
        <v>39414</v>
      </c>
      <c r="F31">
        <v>35.5</v>
      </c>
      <c r="G31" s="2">
        <v>24.0440594640406</v>
      </c>
      <c r="H31" s="2">
        <v>853.56411097344</v>
      </c>
      <c r="I31" t="s">
        <v>22</v>
      </c>
      <c r="J31"/>
      <c r="O31" t="s">
        <v>313</v>
      </c>
      <c r="P31">
        <f>SUMIF(H2:H95,C2="California")</f>
        <v>0</v>
      </c>
    </row>
    <row r="32" spans="1:9">
      <c r="A32" t="s">
        <v>136</v>
      </c>
      <c r="B32" t="s">
        <v>137</v>
      </c>
      <c r="C32" t="s">
        <v>27</v>
      </c>
      <c r="D32" t="s">
        <v>21</v>
      </c>
      <c r="E32" s="1">
        <v>39831</v>
      </c>
      <c r="F32">
        <v>29.5</v>
      </c>
      <c r="G32" s="2">
        <v>27.9270088695213</v>
      </c>
      <c r="H32" s="2">
        <v>823.846761650878</v>
      </c>
      <c r="I32" t="s">
        <v>22</v>
      </c>
    </row>
    <row r="33" spans="1:9">
      <c r="A33" t="s">
        <v>140</v>
      </c>
      <c r="B33" t="s">
        <v>141</v>
      </c>
      <c r="C33" t="s">
        <v>13</v>
      </c>
      <c r="D33" t="s">
        <v>59</v>
      </c>
      <c r="E33" s="1">
        <v>38474</v>
      </c>
      <c r="F33">
        <v>40</v>
      </c>
      <c r="G33" s="2">
        <v>25.3218774491568</v>
      </c>
      <c r="H33" s="2">
        <v>1012.87509796627</v>
      </c>
      <c r="I33" t="s">
        <v>15</v>
      </c>
    </row>
    <row r="34" spans="1:9">
      <c r="A34" t="s">
        <v>144</v>
      </c>
      <c r="B34" t="s">
        <v>145</v>
      </c>
      <c r="C34" t="s">
        <v>13</v>
      </c>
      <c r="D34" t="s">
        <v>59</v>
      </c>
      <c r="E34" s="1">
        <v>40205</v>
      </c>
      <c r="F34">
        <v>35.5</v>
      </c>
      <c r="G34" s="2">
        <v>22.0416278412084</v>
      </c>
      <c r="H34" s="2">
        <v>782.477788362898</v>
      </c>
      <c r="I34" t="s">
        <v>22</v>
      </c>
    </row>
    <row r="35" spans="1:16">
      <c r="A35" t="s">
        <v>148</v>
      </c>
      <c r="B35" t="s">
        <v>149</v>
      </c>
      <c r="C35" t="s">
        <v>20</v>
      </c>
      <c r="D35" t="s">
        <v>59</v>
      </c>
      <c r="E35" s="1">
        <v>39053</v>
      </c>
      <c r="F35">
        <v>32</v>
      </c>
      <c r="G35" s="2">
        <v>20.9360592580624</v>
      </c>
      <c r="H35" s="2">
        <v>669.953896257996</v>
      </c>
      <c r="I35" t="s">
        <v>22</v>
      </c>
      <c r="J35"/>
      <c r="O35" t="s">
        <v>314</v>
      </c>
      <c r="P35" s="2">
        <f>SUM(H2:H95)/95</f>
        <v>887.437983787606</v>
      </c>
    </row>
    <row r="36" spans="1:16">
      <c r="A36" t="s">
        <v>152</v>
      </c>
      <c r="B36" t="s">
        <v>153</v>
      </c>
      <c r="C36" t="s">
        <v>27</v>
      </c>
      <c r="D36" t="s">
        <v>14</v>
      </c>
      <c r="E36" s="1">
        <v>38914</v>
      </c>
      <c r="F36">
        <v>35.5</v>
      </c>
      <c r="G36" s="2">
        <v>23.7804724680972</v>
      </c>
      <c r="H36" s="2">
        <v>844.206772617451</v>
      </c>
      <c r="I36" t="s">
        <v>22</v>
      </c>
      <c r="J36"/>
      <c r="P36" s="2">
        <v>887.44</v>
      </c>
    </row>
    <row r="37" spans="1:16">
      <c r="A37" t="s">
        <v>156</v>
      </c>
      <c r="B37" t="s">
        <v>157</v>
      </c>
      <c r="C37" t="s">
        <v>20</v>
      </c>
      <c r="D37" t="s">
        <v>59</v>
      </c>
      <c r="E37" s="1">
        <v>38727</v>
      </c>
      <c r="F37">
        <v>35</v>
      </c>
      <c r="G37" s="2">
        <v>26.870973454107</v>
      </c>
      <c r="H37" s="2">
        <v>940.484070893745</v>
      </c>
      <c r="I37" t="s">
        <v>22</v>
      </c>
      <c r="J37"/>
      <c r="P37" t="s">
        <v>315</v>
      </c>
    </row>
    <row r="38" spans="1:9">
      <c r="A38" t="s">
        <v>160</v>
      </c>
      <c r="B38" t="s">
        <v>161</v>
      </c>
      <c r="C38" t="s">
        <v>27</v>
      </c>
      <c r="D38" t="s">
        <v>14</v>
      </c>
      <c r="E38" s="1">
        <v>38659</v>
      </c>
      <c r="F38">
        <v>40</v>
      </c>
      <c r="G38" s="2">
        <v>28.0351807192208</v>
      </c>
      <c r="H38" s="2">
        <v>1121.40722876883</v>
      </c>
      <c r="I38" t="s">
        <v>15</v>
      </c>
    </row>
    <row r="39" spans="1:9">
      <c r="A39" t="s">
        <v>164</v>
      </c>
      <c r="B39" t="s">
        <v>165</v>
      </c>
      <c r="C39" t="s">
        <v>20</v>
      </c>
      <c r="D39" t="s">
        <v>51</v>
      </c>
      <c r="E39" s="1">
        <v>39430</v>
      </c>
      <c r="F39">
        <v>40</v>
      </c>
      <c r="G39" s="2">
        <v>22.0025822256507</v>
      </c>
      <c r="H39" s="2">
        <v>880.10328902603</v>
      </c>
      <c r="I39" t="s">
        <v>15</v>
      </c>
    </row>
    <row r="40" spans="1:9">
      <c r="A40" t="s">
        <v>168</v>
      </c>
      <c r="B40" t="s">
        <v>169</v>
      </c>
      <c r="C40" t="s">
        <v>20</v>
      </c>
      <c r="D40" t="s">
        <v>14</v>
      </c>
      <c r="E40" s="1">
        <v>38026</v>
      </c>
      <c r="F40">
        <v>40</v>
      </c>
      <c r="G40" s="2">
        <v>24.209926541516</v>
      </c>
      <c r="H40" s="2">
        <v>968.397061660642</v>
      </c>
      <c r="I40" t="s">
        <v>15</v>
      </c>
    </row>
    <row r="41" spans="1:9">
      <c r="A41" t="s">
        <v>172</v>
      </c>
      <c r="B41" t="s">
        <v>173</v>
      </c>
      <c r="C41" t="s">
        <v>20</v>
      </c>
      <c r="D41" t="s">
        <v>51</v>
      </c>
      <c r="E41" s="1">
        <v>39575</v>
      </c>
      <c r="F41">
        <v>40</v>
      </c>
      <c r="G41" s="2">
        <v>26.4166446930878</v>
      </c>
      <c r="H41" s="2">
        <v>1056.66578772351</v>
      </c>
      <c r="I41" t="s">
        <v>15</v>
      </c>
    </row>
    <row r="42" spans="1:9">
      <c r="A42" t="s">
        <v>176</v>
      </c>
      <c r="B42" t="s">
        <v>177</v>
      </c>
      <c r="C42" t="s">
        <v>27</v>
      </c>
      <c r="D42" t="s">
        <v>59</v>
      </c>
      <c r="E42" s="1">
        <v>38989</v>
      </c>
      <c r="F42">
        <v>40</v>
      </c>
      <c r="G42" s="2">
        <v>26.1563408101695</v>
      </c>
      <c r="H42" s="2">
        <v>1046.25363240678</v>
      </c>
      <c r="I42" t="s">
        <v>15</v>
      </c>
    </row>
    <row r="43" spans="1:9">
      <c r="A43" t="s">
        <v>180</v>
      </c>
      <c r="B43" t="s">
        <v>181</v>
      </c>
      <c r="C43" t="s">
        <v>27</v>
      </c>
      <c r="D43" t="s">
        <v>59</v>
      </c>
      <c r="E43" s="1">
        <v>40127</v>
      </c>
      <c r="F43">
        <v>40</v>
      </c>
      <c r="G43" s="2">
        <v>28.8001607672559</v>
      </c>
      <c r="H43" s="2">
        <v>1152.00643069023</v>
      </c>
      <c r="I43" t="s">
        <v>15</v>
      </c>
    </row>
    <row r="44" spans="1:9">
      <c r="A44" t="s">
        <v>184</v>
      </c>
      <c r="B44" t="s">
        <v>185</v>
      </c>
      <c r="C44" t="s">
        <v>27</v>
      </c>
      <c r="D44" t="s">
        <v>14</v>
      </c>
      <c r="E44" s="1">
        <v>39070</v>
      </c>
      <c r="F44">
        <v>35.5</v>
      </c>
      <c r="G44" s="2">
        <v>24.7005037048751</v>
      </c>
      <c r="H44" s="2">
        <v>876.867881523066</v>
      </c>
      <c r="I44" t="s">
        <v>22</v>
      </c>
    </row>
    <row r="45" spans="1:9">
      <c r="A45" t="s">
        <v>187</v>
      </c>
      <c r="B45" t="s">
        <v>188</v>
      </c>
      <c r="C45" t="s">
        <v>36</v>
      </c>
      <c r="D45" t="s">
        <v>21</v>
      </c>
      <c r="E45" s="1">
        <v>39251</v>
      </c>
      <c r="F45">
        <v>40</v>
      </c>
      <c r="G45" s="2">
        <v>24.7208809045488</v>
      </c>
      <c r="H45" s="2">
        <v>988.835236181952</v>
      </c>
      <c r="I45" t="s">
        <v>15</v>
      </c>
    </row>
    <row r="46" spans="1:9">
      <c r="A46" t="s">
        <v>190</v>
      </c>
      <c r="B46" t="s">
        <v>191</v>
      </c>
      <c r="C46" t="s">
        <v>36</v>
      </c>
      <c r="D46" t="s">
        <v>14</v>
      </c>
      <c r="E46" s="1">
        <v>39925</v>
      </c>
      <c r="F46">
        <v>15.5</v>
      </c>
      <c r="G46" s="2">
        <v>22.0461359567629</v>
      </c>
      <c r="H46" s="2">
        <v>341.715107329824</v>
      </c>
      <c r="I46" t="s">
        <v>22</v>
      </c>
    </row>
    <row r="47" spans="1:9">
      <c r="A47" t="s">
        <v>193</v>
      </c>
      <c r="B47" t="s">
        <v>194</v>
      </c>
      <c r="C47" t="s">
        <v>20</v>
      </c>
      <c r="D47" t="s">
        <v>59</v>
      </c>
      <c r="E47" s="1">
        <v>39226</v>
      </c>
      <c r="F47">
        <v>25</v>
      </c>
      <c r="G47" s="2">
        <v>29.0167556854929</v>
      </c>
      <c r="H47" s="2">
        <v>725.418892137322</v>
      </c>
      <c r="I47" t="s">
        <v>22</v>
      </c>
    </row>
    <row r="48" spans="1:9">
      <c r="A48" t="s">
        <v>196</v>
      </c>
      <c r="B48" t="s">
        <v>197</v>
      </c>
      <c r="C48" t="s">
        <v>36</v>
      </c>
      <c r="D48" t="s">
        <v>14</v>
      </c>
      <c r="E48" s="1">
        <v>40561</v>
      </c>
      <c r="F48">
        <v>40</v>
      </c>
      <c r="G48" s="2">
        <v>27.3588677466791</v>
      </c>
      <c r="H48" s="2">
        <v>1094.35470986716</v>
      </c>
      <c r="I48" t="s">
        <v>15</v>
      </c>
    </row>
    <row r="49" spans="1:9">
      <c r="A49" t="s">
        <v>198</v>
      </c>
      <c r="B49" t="s">
        <v>199</v>
      </c>
      <c r="C49" t="s">
        <v>36</v>
      </c>
      <c r="D49" t="s">
        <v>14</v>
      </c>
      <c r="E49" s="1">
        <v>38080</v>
      </c>
      <c r="F49">
        <v>40</v>
      </c>
      <c r="G49" s="2">
        <v>23.5591787626696</v>
      </c>
      <c r="H49" s="2">
        <v>942.367150506783</v>
      </c>
      <c r="I49" t="s">
        <v>15</v>
      </c>
    </row>
    <row r="50" spans="1:9">
      <c r="A50" t="s">
        <v>200</v>
      </c>
      <c r="B50" t="s">
        <v>201</v>
      </c>
      <c r="C50" t="s">
        <v>13</v>
      </c>
      <c r="D50" t="s">
        <v>59</v>
      </c>
      <c r="E50" s="1">
        <v>37784</v>
      </c>
      <c r="F50">
        <v>38</v>
      </c>
      <c r="G50" s="2">
        <v>25.8959240312466</v>
      </c>
      <c r="H50" s="2">
        <v>984.04511318737</v>
      </c>
      <c r="I50" t="s">
        <v>22</v>
      </c>
    </row>
    <row r="51" spans="1:9">
      <c r="A51" t="s">
        <v>202</v>
      </c>
      <c r="B51" t="s">
        <v>203</v>
      </c>
      <c r="C51" t="s">
        <v>20</v>
      </c>
      <c r="D51" t="s">
        <v>51</v>
      </c>
      <c r="E51" s="1">
        <v>40135</v>
      </c>
      <c r="F51">
        <v>40</v>
      </c>
      <c r="G51" s="2">
        <v>23.7440482448647</v>
      </c>
      <c r="H51" s="2">
        <v>949.761929794589</v>
      </c>
      <c r="I51" t="s">
        <v>15</v>
      </c>
    </row>
    <row r="52" spans="1:9">
      <c r="A52" t="s">
        <v>204</v>
      </c>
      <c r="B52" t="s">
        <v>205</v>
      </c>
      <c r="C52" t="s">
        <v>20</v>
      </c>
      <c r="D52" t="s">
        <v>59</v>
      </c>
      <c r="E52" s="1">
        <v>38851</v>
      </c>
      <c r="F52">
        <v>40</v>
      </c>
      <c r="G52" s="2">
        <v>22.1172203389426</v>
      </c>
      <c r="H52" s="2">
        <v>884.688813557704</v>
      </c>
      <c r="I52" t="s">
        <v>15</v>
      </c>
    </row>
    <row r="53" spans="1:9">
      <c r="A53" t="s">
        <v>206</v>
      </c>
      <c r="B53" t="s">
        <v>207</v>
      </c>
      <c r="C53" t="s">
        <v>20</v>
      </c>
      <c r="D53" t="s">
        <v>21</v>
      </c>
      <c r="E53" s="1">
        <v>38995</v>
      </c>
      <c r="F53">
        <v>40</v>
      </c>
      <c r="G53" s="2">
        <v>28.5041873925272</v>
      </c>
      <c r="H53" s="2">
        <v>1140.16749570109</v>
      </c>
      <c r="I53" t="s">
        <v>15</v>
      </c>
    </row>
    <row r="54" spans="1:9">
      <c r="A54" t="s">
        <v>208</v>
      </c>
      <c r="B54" t="s">
        <v>209</v>
      </c>
      <c r="C54" t="s">
        <v>27</v>
      </c>
      <c r="D54" t="s">
        <v>59</v>
      </c>
      <c r="E54" s="1">
        <v>37439</v>
      </c>
      <c r="F54">
        <v>40</v>
      </c>
      <c r="G54" s="2">
        <v>23.8861934229302</v>
      </c>
      <c r="H54" s="2">
        <v>955.447736917208</v>
      </c>
      <c r="I54" t="s">
        <v>15</v>
      </c>
    </row>
    <row r="55" spans="1:9">
      <c r="A55" t="s">
        <v>210</v>
      </c>
      <c r="B55" t="s">
        <v>211</v>
      </c>
      <c r="C55" t="s">
        <v>13</v>
      </c>
      <c r="D55" t="s">
        <v>51</v>
      </c>
      <c r="E55" s="1">
        <v>40601</v>
      </c>
      <c r="F55">
        <v>40</v>
      </c>
      <c r="G55" s="2">
        <v>24.4318025315317</v>
      </c>
      <c r="H55" s="2">
        <v>977.272101261268</v>
      </c>
      <c r="I55" t="s">
        <v>15</v>
      </c>
    </row>
    <row r="56" spans="1:9">
      <c r="A56" t="s">
        <v>212</v>
      </c>
      <c r="B56" t="s">
        <v>213</v>
      </c>
      <c r="C56" t="s">
        <v>27</v>
      </c>
      <c r="D56" t="s">
        <v>21</v>
      </c>
      <c r="E56" s="1">
        <v>36264</v>
      </c>
      <c r="F56">
        <v>40</v>
      </c>
      <c r="G56" s="2">
        <v>24.3651867901812</v>
      </c>
      <c r="H56" s="2">
        <v>974.607471607247</v>
      </c>
      <c r="I56" t="s">
        <v>15</v>
      </c>
    </row>
    <row r="57" spans="1:9">
      <c r="A57" t="s">
        <v>214</v>
      </c>
      <c r="B57" t="s">
        <v>215</v>
      </c>
      <c r="C57" t="s">
        <v>20</v>
      </c>
      <c r="D57" t="s">
        <v>14</v>
      </c>
      <c r="E57" s="1">
        <v>39238</v>
      </c>
      <c r="F57">
        <v>40</v>
      </c>
      <c r="G57" s="2">
        <v>26.7929940105714</v>
      </c>
      <c r="H57" s="2">
        <v>1071.71976042286</v>
      </c>
      <c r="I57" t="s">
        <v>15</v>
      </c>
    </row>
    <row r="58" spans="1:9">
      <c r="A58" t="s">
        <v>216</v>
      </c>
      <c r="B58" t="s">
        <v>217</v>
      </c>
      <c r="C58" t="s">
        <v>13</v>
      </c>
      <c r="D58" t="s">
        <v>59</v>
      </c>
      <c r="E58" s="1">
        <v>40754</v>
      </c>
      <c r="F58">
        <v>32</v>
      </c>
      <c r="G58" s="2">
        <v>26.9521621799409</v>
      </c>
      <c r="H58" s="2">
        <v>862.46918975811</v>
      </c>
      <c r="I58" t="s">
        <v>22</v>
      </c>
    </row>
    <row r="59" spans="1:9">
      <c r="A59" t="s">
        <v>218</v>
      </c>
      <c r="B59" t="s">
        <v>219</v>
      </c>
      <c r="C59" t="s">
        <v>36</v>
      </c>
      <c r="D59" t="s">
        <v>14</v>
      </c>
      <c r="E59" s="1">
        <v>39138</v>
      </c>
      <c r="F59">
        <v>15.5</v>
      </c>
      <c r="G59" s="2">
        <v>26.3802017837466</v>
      </c>
      <c r="H59" s="2">
        <v>408.893127648072</v>
      </c>
      <c r="I59" t="s">
        <v>22</v>
      </c>
    </row>
    <row r="60" spans="1:9">
      <c r="A60" t="s">
        <v>220</v>
      </c>
      <c r="B60" t="s">
        <v>221</v>
      </c>
      <c r="C60" t="s">
        <v>36</v>
      </c>
      <c r="D60" t="s">
        <v>14</v>
      </c>
      <c r="E60" s="1">
        <v>38217</v>
      </c>
      <c r="F60">
        <v>40</v>
      </c>
      <c r="G60" s="2">
        <v>29.4332293587101</v>
      </c>
      <c r="H60" s="2">
        <v>1177.32917434841</v>
      </c>
      <c r="I60" t="s">
        <v>15</v>
      </c>
    </row>
    <row r="61" spans="1:9">
      <c r="A61" t="s">
        <v>222</v>
      </c>
      <c r="B61" t="s">
        <v>223</v>
      </c>
      <c r="C61" t="s">
        <v>27</v>
      </c>
      <c r="D61" t="s">
        <v>21</v>
      </c>
      <c r="E61" s="1">
        <v>39378</v>
      </c>
      <c r="F61">
        <v>40</v>
      </c>
      <c r="G61" s="2">
        <v>22.9135978775507</v>
      </c>
      <c r="H61" s="2">
        <v>916.54391510203</v>
      </c>
      <c r="I61" t="s">
        <v>15</v>
      </c>
    </row>
    <row r="62" spans="1:9">
      <c r="A62" t="s">
        <v>224</v>
      </c>
      <c r="B62" t="s">
        <v>225</v>
      </c>
      <c r="C62" t="s">
        <v>27</v>
      </c>
      <c r="D62" t="s">
        <v>14</v>
      </c>
      <c r="E62" s="1">
        <v>41968</v>
      </c>
      <c r="F62">
        <v>40</v>
      </c>
      <c r="G62" s="2">
        <v>21.063510642513</v>
      </c>
      <c r="H62" s="2">
        <v>842.540425700521</v>
      </c>
      <c r="I62" t="s">
        <v>15</v>
      </c>
    </row>
    <row r="63" spans="1:9">
      <c r="A63" t="s">
        <v>226</v>
      </c>
      <c r="B63" t="s">
        <v>227</v>
      </c>
      <c r="C63" t="s">
        <v>20</v>
      </c>
      <c r="D63" t="s">
        <v>14</v>
      </c>
      <c r="E63" s="1">
        <v>40397</v>
      </c>
      <c r="F63">
        <v>35</v>
      </c>
      <c r="G63" s="2">
        <v>26.1930616475145</v>
      </c>
      <c r="H63" s="2">
        <v>916.757157663007</v>
      </c>
      <c r="I63" t="s">
        <v>22</v>
      </c>
    </row>
    <row r="64" spans="1:9">
      <c r="A64" t="s">
        <v>228</v>
      </c>
      <c r="B64" t="s">
        <v>229</v>
      </c>
      <c r="C64" t="s">
        <v>13</v>
      </c>
      <c r="D64" t="s">
        <v>14</v>
      </c>
      <c r="E64" s="1">
        <v>38068</v>
      </c>
      <c r="F64">
        <v>35.5</v>
      </c>
      <c r="G64" s="2">
        <v>26.441106244959</v>
      </c>
      <c r="H64" s="2">
        <v>938.659271696046</v>
      </c>
      <c r="I64" t="s">
        <v>22</v>
      </c>
    </row>
    <row r="65" spans="1:9">
      <c r="A65" t="s">
        <v>230</v>
      </c>
      <c r="B65" t="s">
        <v>231</v>
      </c>
      <c r="C65" t="s">
        <v>13</v>
      </c>
      <c r="D65" t="s">
        <v>51</v>
      </c>
      <c r="E65" s="1">
        <v>38211</v>
      </c>
      <c r="F65">
        <v>32</v>
      </c>
      <c r="G65" s="2">
        <v>20.8628676904625</v>
      </c>
      <c r="H65" s="2">
        <v>667.6117660948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236</v>
      </c>
      <c r="B68" t="s">
        <v>237</v>
      </c>
      <c r="C68" t="s">
        <v>27</v>
      </c>
      <c r="D68" t="s">
        <v>59</v>
      </c>
      <c r="E68" s="1">
        <v>39418</v>
      </c>
      <c r="F68">
        <v>29.5</v>
      </c>
      <c r="G68" s="2">
        <v>27.2459372602021</v>
      </c>
      <c r="H68" s="2">
        <v>803.755149175961</v>
      </c>
      <c r="I68" t="s">
        <v>22</v>
      </c>
    </row>
    <row r="69" spans="1:9">
      <c r="A69" t="s">
        <v>238</v>
      </c>
      <c r="B69" t="s">
        <v>239</v>
      </c>
      <c r="C69" t="s">
        <v>13</v>
      </c>
      <c r="D69" t="s">
        <v>21</v>
      </c>
      <c r="E69" s="1">
        <v>40268</v>
      </c>
      <c r="F69">
        <v>32</v>
      </c>
      <c r="G69" s="2">
        <v>24.7808249198699</v>
      </c>
      <c r="H69" s="2">
        <v>792.986397435835</v>
      </c>
      <c r="I69" t="s">
        <v>22</v>
      </c>
    </row>
    <row r="70" spans="1:9">
      <c r="A70" t="s">
        <v>240</v>
      </c>
      <c r="B70" t="s">
        <v>241</v>
      </c>
      <c r="C70" t="s">
        <v>36</v>
      </c>
      <c r="D70" t="s">
        <v>21</v>
      </c>
      <c r="E70" s="1">
        <v>39770</v>
      </c>
      <c r="F70">
        <v>35</v>
      </c>
      <c r="G70" s="2">
        <v>20.9514694627171</v>
      </c>
      <c r="H70" s="2">
        <v>733.301431195098</v>
      </c>
      <c r="I70" t="s">
        <v>22</v>
      </c>
    </row>
    <row r="71" spans="1:9">
      <c r="A71" t="s">
        <v>242</v>
      </c>
      <c r="B71" t="s">
        <v>243</v>
      </c>
      <c r="C71" t="s">
        <v>27</v>
      </c>
      <c r="D71" t="s">
        <v>51</v>
      </c>
      <c r="E71" s="1">
        <v>37263</v>
      </c>
      <c r="F71">
        <v>40</v>
      </c>
      <c r="G71" s="2">
        <v>24.2132465350738</v>
      </c>
      <c r="H71" s="2">
        <v>968.529861402952</v>
      </c>
      <c r="I71" t="s">
        <v>15</v>
      </c>
    </row>
    <row r="72" spans="1:9">
      <c r="A72" t="s">
        <v>244</v>
      </c>
      <c r="B72" t="s">
        <v>245</v>
      </c>
      <c r="C72" t="s">
        <v>36</v>
      </c>
      <c r="D72" t="s">
        <v>51</v>
      </c>
      <c r="E72" s="1">
        <v>38990</v>
      </c>
      <c r="F72">
        <v>40</v>
      </c>
      <c r="G72" s="2">
        <v>26.6733350813367</v>
      </c>
      <c r="H72" s="2">
        <v>1066.93340325347</v>
      </c>
      <c r="I72" t="s">
        <v>15</v>
      </c>
    </row>
    <row r="73" spans="1:9">
      <c r="A73" t="s">
        <v>246</v>
      </c>
      <c r="B73" t="s">
        <v>247</v>
      </c>
      <c r="C73" t="s">
        <v>36</v>
      </c>
      <c r="D73" t="s">
        <v>51</v>
      </c>
      <c r="E73" s="1">
        <v>38288</v>
      </c>
      <c r="F73">
        <v>40</v>
      </c>
      <c r="G73" s="2">
        <v>23.270898653239</v>
      </c>
      <c r="H73" s="2">
        <v>930.835946129561</v>
      </c>
      <c r="I73" t="s">
        <v>15</v>
      </c>
    </row>
    <row r="74" spans="1:9">
      <c r="A74" t="s">
        <v>248</v>
      </c>
      <c r="B74" t="s">
        <v>249</v>
      </c>
      <c r="C74" t="s">
        <v>27</v>
      </c>
      <c r="D74" t="s">
        <v>51</v>
      </c>
      <c r="E74" s="1">
        <v>39752</v>
      </c>
      <c r="F74">
        <v>40</v>
      </c>
      <c r="G74" s="2">
        <v>29.6126531698801</v>
      </c>
      <c r="H74" s="2">
        <v>1184.5061267952</v>
      </c>
      <c r="I74" t="s">
        <v>15</v>
      </c>
    </row>
    <row r="75" spans="1:9">
      <c r="A75" t="s">
        <v>250</v>
      </c>
      <c r="B75" t="s">
        <v>251</v>
      </c>
      <c r="C75" t="s">
        <v>20</v>
      </c>
      <c r="D75" t="s">
        <v>59</v>
      </c>
      <c r="E75" s="1">
        <v>38029</v>
      </c>
      <c r="F75">
        <v>25</v>
      </c>
      <c r="G75" s="2">
        <v>27.1249727517577</v>
      </c>
      <c r="H75" s="2">
        <v>678.124318793942</v>
      </c>
      <c r="I75" t="s">
        <v>22</v>
      </c>
    </row>
    <row r="76" spans="1:9">
      <c r="A76" t="s">
        <v>252</v>
      </c>
      <c r="B76" t="s">
        <v>253</v>
      </c>
      <c r="C76" t="s">
        <v>13</v>
      </c>
      <c r="D76" t="s">
        <v>51</v>
      </c>
      <c r="E76" s="1">
        <v>38990</v>
      </c>
      <c r="F76">
        <v>40</v>
      </c>
      <c r="G76" s="2">
        <v>20.55570522982</v>
      </c>
      <c r="H76" s="2">
        <v>822.2282091928</v>
      </c>
      <c r="I76" t="s">
        <v>15</v>
      </c>
    </row>
    <row r="77" spans="1:9">
      <c r="A77" t="s">
        <v>254</v>
      </c>
      <c r="B77" t="s">
        <v>255</v>
      </c>
      <c r="C77" t="s">
        <v>27</v>
      </c>
      <c r="D77" t="s">
        <v>51</v>
      </c>
      <c r="E77" s="1">
        <v>40139</v>
      </c>
      <c r="F77">
        <v>42</v>
      </c>
      <c r="G77" s="2">
        <v>23.7429467910733</v>
      </c>
      <c r="H77" s="2">
        <v>997.20376522508</v>
      </c>
      <c r="I77" t="s">
        <v>15</v>
      </c>
    </row>
    <row r="78" spans="1:9">
      <c r="A78" t="s">
        <v>256</v>
      </c>
      <c r="B78" t="s">
        <v>257</v>
      </c>
      <c r="C78" t="s">
        <v>13</v>
      </c>
      <c r="D78" t="s">
        <v>14</v>
      </c>
      <c r="E78" s="1">
        <v>39601</v>
      </c>
      <c r="F78">
        <v>25</v>
      </c>
      <c r="G78" s="2">
        <v>20.6563505176776</v>
      </c>
      <c r="H78" s="2">
        <v>516.40876294194</v>
      </c>
      <c r="I78" t="s">
        <v>22</v>
      </c>
    </row>
    <row r="79" spans="1:9">
      <c r="A79" t="s">
        <v>258</v>
      </c>
      <c r="B79" t="s">
        <v>259</v>
      </c>
      <c r="C79" t="s">
        <v>20</v>
      </c>
      <c r="D79" t="s">
        <v>21</v>
      </c>
      <c r="E79" s="1">
        <v>40035</v>
      </c>
      <c r="F79">
        <v>40</v>
      </c>
      <c r="G79" s="2">
        <v>24.7613808611318</v>
      </c>
      <c r="H79" s="2">
        <v>990.455234445274</v>
      </c>
      <c r="I79" t="s">
        <v>15</v>
      </c>
    </row>
    <row r="80" spans="1:9">
      <c r="A80" t="s">
        <v>260</v>
      </c>
      <c r="B80" t="s">
        <v>261</v>
      </c>
      <c r="C80" t="s">
        <v>27</v>
      </c>
      <c r="D80" t="s">
        <v>59</v>
      </c>
      <c r="E80" s="1">
        <v>40296</v>
      </c>
      <c r="F80">
        <v>42</v>
      </c>
      <c r="G80" s="2">
        <v>21.2089102328483</v>
      </c>
      <c r="H80" s="2">
        <v>890.774229779629</v>
      </c>
      <c r="I80" t="s">
        <v>15</v>
      </c>
    </row>
    <row r="81" spans="1:9">
      <c r="A81" t="s">
        <v>262</v>
      </c>
      <c r="B81" t="s">
        <v>263</v>
      </c>
      <c r="C81" t="s">
        <v>27</v>
      </c>
      <c r="D81" t="s">
        <v>14</v>
      </c>
      <c r="E81" s="1">
        <v>36953</v>
      </c>
      <c r="F81">
        <v>40</v>
      </c>
      <c r="G81" s="2">
        <v>29.6869323887969</v>
      </c>
      <c r="H81" s="2">
        <v>1187.47729555188</v>
      </c>
      <c r="I81" t="s">
        <v>15</v>
      </c>
    </row>
    <row r="82" spans="1:9">
      <c r="A82" t="s">
        <v>264</v>
      </c>
      <c r="B82" t="s">
        <v>265</v>
      </c>
      <c r="C82" t="s">
        <v>36</v>
      </c>
      <c r="D82" t="s">
        <v>14</v>
      </c>
      <c r="E82" s="1">
        <v>36948</v>
      </c>
      <c r="F82">
        <v>15.5</v>
      </c>
      <c r="G82" s="2">
        <v>27.0324725336245</v>
      </c>
      <c r="H82" s="2">
        <v>419.003324271179</v>
      </c>
      <c r="I82" t="s">
        <v>22</v>
      </c>
    </row>
    <row r="83" spans="1:9">
      <c r="A83" t="s">
        <v>266</v>
      </c>
      <c r="B83" t="s">
        <v>267</v>
      </c>
      <c r="C83" t="s">
        <v>27</v>
      </c>
      <c r="D83" t="s">
        <v>21</v>
      </c>
      <c r="E83" s="1">
        <v>40537</v>
      </c>
      <c r="F83">
        <v>40</v>
      </c>
      <c r="G83" s="2">
        <v>23.8393078808562</v>
      </c>
      <c r="H83" s="2">
        <v>953.572315234248</v>
      </c>
      <c r="I83" t="s">
        <v>15</v>
      </c>
    </row>
    <row r="84" spans="1:9">
      <c r="A84" t="s">
        <v>268</v>
      </c>
      <c r="B84" t="s">
        <v>269</v>
      </c>
      <c r="C84" t="s">
        <v>27</v>
      </c>
      <c r="D84" t="s">
        <v>21</v>
      </c>
      <c r="E84" s="1">
        <v>40692</v>
      </c>
      <c r="F84">
        <v>29.5</v>
      </c>
      <c r="G84" s="2">
        <v>26.1711140052097</v>
      </c>
      <c r="H84" s="2">
        <v>772.047863153687</v>
      </c>
      <c r="I84" t="s">
        <v>22</v>
      </c>
    </row>
    <row r="85" spans="1:9">
      <c r="A85" t="s">
        <v>270</v>
      </c>
      <c r="B85" t="s">
        <v>271</v>
      </c>
      <c r="C85" t="s">
        <v>27</v>
      </c>
      <c r="D85" t="s">
        <v>21</v>
      </c>
      <c r="E85" s="1">
        <v>38211</v>
      </c>
      <c r="F85">
        <v>29.5</v>
      </c>
      <c r="G85" s="2">
        <v>24.9382581014963</v>
      </c>
      <c r="H85" s="2">
        <v>735.67861399414</v>
      </c>
      <c r="I85" t="s">
        <v>22</v>
      </c>
    </row>
    <row r="86" spans="1:9">
      <c r="A86" t="s">
        <v>272</v>
      </c>
      <c r="B86" t="s">
        <v>273</v>
      </c>
      <c r="C86" t="s">
        <v>36</v>
      </c>
      <c r="D86" t="s">
        <v>21</v>
      </c>
      <c r="E86" s="1">
        <v>39435</v>
      </c>
      <c r="F86">
        <v>40</v>
      </c>
      <c r="G86" s="2">
        <v>21.9331419032506</v>
      </c>
      <c r="H86" s="2">
        <v>877.325676130023</v>
      </c>
      <c r="I86" t="s">
        <v>15</v>
      </c>
    </row>
    <row r="87" spans="1:9">
      <c r="A87" t="s">
        <v>274</v>
      </c>
      <c r="B87" t="s">
        <v>275</v>
      </c>
      <c r="C87" t="s">
        <v>36</v>
      </c>
      <c r="D87" t="s">
        <v>14</v>
      </c>
      <c r="E87" s="1">
        <v>40417</v>
      </c>
      <c r="F87">
        <v>15.5</v>
      </c>
      <c r="G87" s="2">
        <v>22.2269085765447</v>
      </c>
      <c r="H87" s="2">
        <v>344.517082936443</v>
      </c>
      <c r="I87" t="s">
        <v>22</v>
      </c>
    </row>
    <row r="88" spans="1:9">
      <c r="A88" t="s">
        <v>276</v>
      </c>
      <c r="B88" t="s">
        <v>277</v>
      </c>
      <c r="C88" t="s">
        <v>36</v>
      </c>
      <c r="D88" t="s">
        <v>21</v>
      </c>
      <c r="E88" s="1">
        <v>38880</v>
      </c>
      <c r="F88">
        <v>40</v>
      </c>
      <c r="G88" s="2">
        <v>28.5121956001453</v>
      </c>
      <c r="H88" s="2">
        <v>1140.48782400581</v>
      </c>
      <c r="I88" t="s">
        <v>15</v>
      </c>
    </row>
    <row r="89" spans="1:9">
      <c r="A89" t="s">
        <v>278</v>
      </c>
      <c r="B89" t="s">
        <v>279</v>
      </c>
      <c r="C89" t="s">
        <v>20</v>
      </c>
      <c r="D89" t="s">
        <v>59</v>
      </c>
      <c r="E89" s="1">
        <v>38084</v>
      </c>
      <c r="F89">
        <v>38</v>
      </c>
      <c r="G89" s="2">
        <v>26.1580386214767</v>
      </c>
      <c r="H89" s="2">
        <v>994.005467616114</v>
      </c>
      <c r="I89" t="s">
        <v>22</v>
      </c>
    </row>
    <row r="90" spans="1:9">
      <c r="A90" t="s">
        <v>280</v>
      </c>
      <c r="B90" t="s">
        <v>281</v>
      </c>
      <c r="C90" t="s">
        <v>20</v>
      </c>
      <c r="D90" t="s">
        <v>14</v>
      </c>
      <c r="E90" s="1">
        <v>37112</v>
      </c>
      <c r="F90">
        <v>38</v>
      </c>
      <c r="G90" s="2">
        <v>29.9674239695174</v>
      </c>
      <c r="H90" s="2">
        <v>1138.76211084166</v>
      </c>
      <c r="I90" t="s">
        <v>22</v>
      </c>
    </row>
    <row r="91" spans="1:9">
      <c r="A91" t="s">
        <v>282</v>
      </c>
      <c r="B91" t="s">
        <v>283</v>
      </c>
      <c r="C91" t="s">
        <v>27</v>
      </c>
      <c r="D91" t="s">
        <v>51</v>
      </c>
      <c r="E91" s="1">
        <v>37948</v>
      </c>
      <c r="F91">
        <v>40</v>
      </c>
      <c r="G91" s="2">
        <v>25.3452862696831</v>
      </c>
      <c r="H91" s="2">
        <v>1013.81145078732</v>
      </c>
      <c r="I91" t="s">
        <v>15</v>
      </c>
    </row>
    <row r="92" spans="1:9">
      <c r="A92" t="s">
        <v>284</v>
      </c>
      <c r="B92" t="s">
        <v>285</v>
      </c>
      <c r="C92" t="s">
        <v>36</v>
      </c>
      <c r="D92" t="s">
        <v>14</v>
      </c>
      <c r="E92" s="1">
        <v>39059</v>
      </c>
      <c r="F92">
        <v>40</v>
      </c>
      <c r="G92" s="2">
        <v>25.6019372294119</v>
      </c>
      <c r="H92" s="2">
        <v>1024.07748917648</v>
      </c>
      <c r="I92" t="s">
        <v>15</v>
      </c>
    </row>
    <row r="93" spans="1:9">
      <c r="A93" t="s">
        <v>286</v>
      </c>
      <c r="B93" t="s">
        <v>287</v>
      </c>
      <c r="C93" t="s">
        <v>20</v>
      </c>
      <c r="D93" t="s">
        <v>14</v>
      </c>
      <c r="E93" s="1">
        <v>38533</v>
      </c>
      <c r="F93">
        <v>35.5</v>
      </c>
      <c r="G93" s="2">
        <v>23.9214244689799</v>
      </c>
      <c r="H93" s="2">
        <v>849.210568648788</v>
      </c>
      <c r="I93" t="s">
        <v>22</v>
      </c>
    </row>
    <row r="94" spans="1:9">
      <c r="A94" t="s">
        <v>288</v>
      </c>
      <c r="B94" t="s">
        <v>289</v>
      </c>
      <c r="C94" t="s">
        <v>36</v>
      </c>
      <c r="D94" t="s">
        <v>59</v>
      </c>
      <c r="E94" s="1">
        <v>38744</v>
      </c>
      <c r="F94">
        <v>35</v>
      </c>
      <c r="G94" s="2">
        <v>20.3208991153415</v>
      </c>
      <c r="H94" s="2">
        <v>711.231469036951</v>
      </c>
      <c r="I94" t="s">
        <v>22</v>
      </c>
    </row>
    <row r="95" spans="1:9">
      <c r="A95" t="s">
        <v>290</v>
      </c>
      <c r="B95" t="s">
        <v>291</v>
      </c>
      <c r="C95" t="s">
        <v>20</v>
      </c>
      <c r="D95" t="s">
        <v>59</v>
      </c>
      <c r="E95" s="1">
        <v>40119</v>
      </c>
      <c r="F95">
        <v>35</v>
      </c>
      <c r="G95" s="2">
        <v>27.5256373926534</v>
      </c>
      <c r="H95" s="2">
        <v>963.397308742868</v>
      </c>
      <c r="I95" t="s">
        <v>22</v>
      </c>
    </row>
    <row r="99" spans="15:15">
      <c r="O99">
        <f>SUM(G2:G95)/94</f>
        <v>24.9740132527256</v>
      </c>
    </row>
  </sheetData>
  <conditionalFormatting sqref="H2">
    <cfRule type="cellIs" dxfId="0" priority="1" operator="greaterThan">
      <formula>"""$""# ##887,44"</formula>
    </cfRule>
  </conditionalFormatting>
  <conditionalFormatting sqref="A10">
    <cfRule type="cellIs" dxfId="1" priority="2" operator="greaterThan">
      <formula>"h10&gt;887"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"/>
  <sheetViews>
    <sheetView workbookViewId="0">
      <selection activeCell="Q1" sqref="Q1"/>
    </sheetView>
  </sheetViews>
  <sheetFormatPr defaultColWidth="8.88888888888889" defaultRowHeight="14.4"/>
  <sheetData>
    <row r="1" ht="15.6" spans="1:1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293</v>
      </c>
      <c r="Q1" s="3" t="s">
        <v>86</v>
      </c>
    </row>
    <row r="2" ht="15.6" spans="1:17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  <c r="Q2" s="4" t="s">
        <v>90</v>
      </c>
    </row>
    <row r="3" ht="15.6" spans="1:17">
      <c r="A3" t="s">
        <v>18</v>
      </c>
      <c r="B3" t="s">
        <v>19</v>
      </c>
      <c r="C3" t="s">
        <v>20</v>
      </c>
      <c r="D3" t="s">
        <v>21</v>
      </c>
      <c r="E3" s="1">
        <v>40574</v>
      </c>
      <c r="F3">
        <v>35</v>
      </c>
      <c r="G3" s="2">
        <v>27.7308540634317</v>
      </c>
      <c r="H3" s="2">
        <v>970.57989222011</v>
      </c>
      <c r="I3" t="s">
        <v>22</v>
      </c>
      <c r="Q3" s="4" t="s">
        <v>94</v>
      </c>
    </row>
    <row r="4" spans="1:9">
      <c r="A4" t="s">
        <v>25</v>
      </c>
      <c r="B4" t="s">
        <v>26</v>
      </c>
      <c r="C4" t="s">
        <v>27</v>
      </c>
      <c r="D4" t="s">
        <v>14</v>
      </c>
      <c r="E4" s="1">
        <v>39089</v>
      </c>
      <c r="F4">
        <v>42</v>
      </c>
      <c r="G4" s="2">
        <v>23.2385457007659</v>
      </c>
      <c r="H4" s="2">
        <v>976.018919432168</v>
      </c>
      <c r="I4" t="s">
        <v>15</v>
      </c>
    </row>
    <row r="5" spans="1:9">
      <c r="A5" t="s">
        <v>30</v>
      </c>
      <c r="B5" t="s">
        <v>31</v>
      </c>
      <c r="C5" t="s">
        <v>20</v>
      </c>
      <c r="D5" t="s">
        <v>14</v>
      </c>
      <c r="E5" s="1">
        <v>40095</v>
      </c>
      <c r="F5">
        <v>40</v>
      </c>
      <c r="G5" s="2">
        <v>29.6040358356933</v>
      </c>
      <c r="H5" s="2">
        <v>1184.16143342773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14</v>
      </c>
      <c r="E6" s="1">
        <v>38863</v>
      </c>
      <c r="F6">
        <v>40</v>
      </c>
      <c r="G6" s="2">
        <v>20.2945957445476</v>
      </c>
      <c r="H6" s="2">
        <v>811.783829781904</v>
      </c>
      <c r="I6" t="s">
        <v>15</v>
      </c>
    </row>
    <row r="7" spans="1:9">
      <c r="A7" t="s">
        <v>38</v>
      </c>
      <c r="B7" t="s">
        <v>39</v>
      </c>
      <c r="C7" t="s">
        <v>27</v>
      </c>
      <c r="D7" t="s">
        <v>21</v>
      </c>
      <c r="E7" s="1">
        <v>39329</v>
      </c>
      <c r="F7">
        <v>29.5</v>
      </c>
      <c r="G7" s="2">
        <v>22.5040616496157</v>
      </c>
      <c r="H7" s="2">
        <v>663.869818663664</v>
      </c>
      <c r="I7" t="s">
        <v>22</v>
      </c>
    </row>
    <row r="8" spans="1:9">
      <c r="A8" t="s">
        <v>42</v>
      </c>
      <c r="B8" t="s">
        <v>43</v>
      </c>
      <c r="C8" t="s">
        <v>27</v>
      </c>
      <c r="D8" t="s">
        <v>14</v>
      </c>
      <c r="E8" s="1">
        <v>38372</v>
      </c>
      <c r="F8">
        <v>35.5</v>
      </c>
      <c r="G8" s="2">
        <v>23.7146915473977</v>
      </c>
      <c r="H8" s="2">
        <v>841.87154993262</v>
      </c>
      <c r="I8" t="s">
        <v>22</v>
      </c>
    </row>
    <row r="9" spans="1:9">
      <c r="A9" t="s">
        <v>46</v>
      </c>
      <c r="B9" t="s">
        <v>47</v>
      </c>
      <c r="C9" t="s">
        <v>27</v>
      </c>
      <c r="D9" t="s">
        <v>21</v>
      </c>
      <c r="E9" s="1">
        <v>37721</v>
      </c>
      <c r="F9">
        <v>40</v>
      </c>
      <c r="G9" s="2">
        <v>24.6342558337354</v>
      </c>
      <c r="H9" s="2">
        <v>985.370233349417</v>
      </c>
      <c r="I9" t="s">
        <v>15</v>
      </c>
    </row>
    <row r="10" spans="1:9">
      <c r="A10" t="s">
        <v>49</v>
      </c>
      <c r="B10" t="s">
        <v>50</v>
      </c>
      <c r="C10" t="s">
        <v>36</v>
      </c>
      <c r="D10" t="s">
        <v>51</v>
      </c>
      <c r="E10" s="1">
        <v>38014</v>
      </c>
      <c r="F10">
        <v>40</v>
      </c>
      <c r="G10" s="2">
        <v>24.0625161257531</v>
      </c>
      <c r="H10" s="2">
        <v>962.500645030123</v>
      </c>
      <c r="I10" t="s">
        <v>15</v>
      </c>
    </row>
    <row r="11" spans="1:9">
      <c r="A11" t="s">
        <v>54</v>
      </c>
      <c r="B11" t="s">
        <v>55</v>
      </c>
      <c r="C11" t="s">
        <v>27</v>
      </c>
      <c r="D11" t="s">
        <v>14</v>
      </c>
      <c r="E11" s="1">
        <v>39406</v>
      </c>
      <c r="F11">
        <v>35.5</v>
      </c>
      <c r="G11" s="2">
        <v>22.4745266505368</v>
      </c>
      <c r="H11" s="2">
        <v>797.845696094057</v>
      </c>
      <c r="I11" t="s">
        <v>22</v>
      </c>
    </row>
    <row r="12" spans="1:9">
      <c r="A12" t="s">
        <v>57</v>
      </c>
      <c r="B12" t="s">
        <v>58</v>
      </c>
      <c r="C12" t="s">
        <v>36</v>
      </c>
      <c r="D12" t="s">
        <v>59</v>
      </c>
      <c r="E12" s="1">
        <v>40636</v>
      </c>
      <c r="F12">
        <v>40</v>
      </c>
      <c r="G12" s="2">
        <v>26.2274469754406</v>
      </c>
      <c r="H12" s="2">
        <v>1049.09787901763</v>
      </c>
      <c r="I12" t="s">
        <v>15</v>
      </c>
    </row>
    <row r="13" spans="1:9">
      <c r="A13" t="s">
        <v>62</v>
      </c>
      <c r="B13" t="s">
        <v>63</v>
      </c>
      <c r="C13" t="s">
        <v>36</v>
      </c>
      <c r="D13" t="s">
        <v>59</v>
      </c>
      <c r="E13" s="1">
        <v>37299</v>
      </c>
      <c r="F13">
        <v>40</v>
      </c>
      <c r="G13" s="2">
        <v>20.4595521381667</v>
      </c>
      <c r="H13" s="2">
        <v>818.382085526669</v>
      </c>
      <c r="I13" t="s">
        <v>15</v>
      </c>
    </row>
    <row r="14" spans="1:9">
      <c r="A14" t="s">
        <v>65</v>
      </c>
      <c r="B14" t="s">
        <v>66</v>
      </c>
      <c r="C14" t="s">
        <v>36</v>
      </c>
      <c r="D14" t="s">
        <v>14</v>
      </c>
      <c r="E14" s="1">
        <v>39601</v>
      </c>
      <c r="F14">
        <v>40</v>
      </c>
      <c r="G14" s="2">
        <v>20.3846080101342</v>
      </c>
      <c r="H14" s="2">
        <v>815.384320405368</v>
      </c>
      <c r="I14" t="s">
        <v>15</v>
      </c>
    </row>
    <row r="15" spans="1:9">
      <c r="A15" t="s">
        <v>69</v>
      </c>
      <c r="B15" t="s">
        <v>70</v>
      </c>
      <c r="C15" t="s">
        <v>36</v>
      </c>
      <c r="D15" t="s">
        <v>59</v>
      </c>
      <c r="E15" s="1">
        <v>39051</v>
      </c>
      <c r="F15">
        <v>15.5</v>
      </c>
      <c r="G15" s="2">
        <v>23.8590814253866</v>
      </c>
      <c r="H15" s="2">
        <v>369.815762093492</v>
      </c>
      <c r="I15" t="s">
        <v>22</v>
      </c>
    </row>
    <row r="16" spans="1:9">
      <c r="A16" t="s">
        <v>72</v>
      </c>
      <c r="B16" t="s">
        <v>73</v>
      </c>
      <c r="C16" t="s">
        <v>13</v>
      </c>
      <c r="D16" t="s">
        <v>59</v>
      </c>
      <c r="E16" s="1">
        <v>39223</v>
      </c>
      <c r="F16">
        <v>38</v>
      </c>
      <c r="G16" s="2">
        <v>26.2234936764226</v>
      </c>
      <c r="H16" s="2">
        <v>996.49275970406</v>
      </c>
      <c r="I16" t="s">
        <v>22</v>
      </c>
    </row>
    <row r="17" spans="1:9">
      <c r="A17" t="s">
        <v>76</v>
      </c>
      <c r="B17" t="s">
        <v>77</v>
      </c>
      <c r="C17" t="s">
        <v>20</v>
      </c>
      <c r="D17" t="s">
        <v>59</v>
      </c>
      <c r="E17" s="1">
        <v>39259</v>
      </c>
      <c r="F17">
        <v>40</v>
      </c>
      <c r="G17" s="2">
        <v>24.122312108731</v>
      </c>
      <c r="H17" s="2">
        <v>964.89248434924</v>
      </c>
      <c r="I17" t="s">
        <v>15</v>
      </c>
    </row>
    <row r="18" spans="1:9">
      <c r="A18" t="s">
        <v>80</v>
      </c>
      <c r="B18" t="s">
        <v>81</v>
      </c>
      <c r="C18" t="s">
        <v>27</v>
      </c>
      <c r="D18" t="s">
        <v>14</v>
      </c>
      <c r="E18" s="1">
        <v>40108</v>
      </c>
      <c r="F18">
        <v>40</v>
      </c>
      <c r="G18" s="2">
        <v>27.4278911367849</v>
      </c>
      <c r="H18" s="2">
        <v>1097.11564547139</v>
      </c>
      <c r="I18" t="s">
        <v>15</v>
      </c>
    </row>
    <row r="19" spans="1:9">
      <c r="A19" t="s">
        <v>84</v>
      </c>
      <c r="B19" t="s">
        <v>85</v>
      </c>
      <c r="C19" t="s">
        <v>13</v>
      </c>
      <c r="D19" t="s">
        <v>14</v>
      </c>
      <c r="E19" s="1">
        <v>39865</v>
      </c>
      <c r="F19">
        <v>35</v>
      </c>
      <c r="G19" s="2">
        <v>24.9864365543203</v>
      </c>
      <c r="H19" s="2">
        <v>874.525279401211</v>
      </c>
      <c r="I19" t="s">
        <v>22</v>
      </c>
    </row>
    <row r="20" spans="1:9">
      <c r="A20" t="s">
        <v>88</v>
      </c>
      <c r="B20" t="s">
        <v>89</v>
      </c>
      <c r="C20" t="s">
        <v>36</v>
      </c>
      <c r="D20" t="s">
        <v>51</v>
      </c>
      <c r="E20" s="1">
        <v>38551</v>
      </c>
      <c r="F20">
        <v>40</v>
      </c>
      <c r="G20" s="2">
        <v>28.1837716768448</v>
      </c>
      <c r="H20" s="2">
        <v>1127.35086707379</v>
      </c>
      <c r="I20" t="s">
        <v>15</v>
      </c>
    </row>
    <row r="21" spans="1:9">
      <c r="A21" t="s">
        <v>92</v>
      </c>
      <c r="B21" t="s">
        <v>93</v>
      </c>
      <c r="C21" t="s">
        <v>20</v>
      </c>
      <c r="D21" t="s">
        <v>21</v>
      </c>
      <c r="E21" s="1">
        <v>38202</v>
      </c>
      <c r="F21">
        <v>35.5</v>
      </c>
      <c r="G21" s="2">
        <v>23.5513467037949</v>
      </c>
      <c r="H21" s="2">
        <v>836.072807984721</v>
      </c>
      <c r="I21" t="s">
        <v>22</v>
      </c>
    </row>
    <row r="22" spans="1:9">
      <c r="A22" t="s">
        <v>96</v>
      </c>
      <c r="B22" t="s">
        <v>97</v>
      </c>
      <c r="C22" t="s">
        <v>20</v>
      </c>
      <c r="D22" t="s">
        <v>21</v>
      </c>
      <c r="E22" s="1">
        <v>39385</v>
      </c>
      <c r="F22">
        <v>38</v>
      </c>
      <c r="G22" s="2">
        <v>21.527759251738</v>
      </c>
      <c r="H22" s="2">
        <v>818.054851566046</v>
      </c>
      <c r="I22" t="s">
        <v>22</v>
      </c>
    </row>
    <row r="23" spans="1:9">
      <c r="A23" t="s">
        <v>100</v>
      </c>
      <c r="B23" t="s">
        <v>101</v>
      </c>
      <c r="C23" t="s">
        <v>20</v>
      </c>
      <c r="D23" t="s">
        <v>21</v>
      </c>
      <c r="E23" s="1">
        <v>37877</v>
      </c>
      <c r="F23">
        <v>40</v>
      </c>
      <c r="G23" s="2">
        <v>29.435165359699</v>
      </c>
      <c r="H23" s="2">
        <v>1177.40661438796</v>
      </c>
      <c r="I23" t="s">
        <v>15</v>
      </c>
    </row>
    <row r="24" spans="1:9">
      <c r="A24" t="s">
        <v>104</v>
      </c>
      <c r="B24" t="s">
        <v>105</v>
      </c>
      <c r="C24" t="s">
        <v>20</v>
      </c>
      <c r="D24" t="s">
        <v>21</v>
      </c>
      <c r="E24" s="1">
        <v>37779</v>
      </c>
      <c r="F24">
        <v>40</v>
      </c>
      <c r="G24" s="2">
        <v>28.5585427782549</v>
      </c>
      <c r="H24" s="2">
        <v>1142.3417111302</v>
      </c>
      <c r="I24" t="s">
        <v>15</v>
      </c>
    </row>
    <row r="25" spans="1:9">
      <c r="A25" t="s">
        <v>108</v>
      </c>
      <c r="B25" t="s">
        <v>109</v>
      </c>
      <c r="C25" t="s">
        <v>13</v>
      </c>
      <c r="D25" t="s">
        <v>21</v>
      </c>
      <c r="E25" s="1">
        <v>40611</v>
      </c>
      <c r="F25">
        <v>35</v>
      </c>
      <c r="G25" s="2">
        <v>21.3408234410477</v>
      </c>
      <c r="H25" s="2">
        <v>746.928820436669</v>
      </c>
      <c r="I25" t="s">
        <v>22</v>
      </c>
    </row>
    <row r="26" spans="1:9">
      <c r="A26" t="s">
        <v>112</v>
      </c>
      <c r="B26" t="s">
        <v>113</v>
      </c>
      <c r="C26" t="s">
        <v>13</v>
      </c>
      <c r="D26" t="s">
        <v>21</v>
      </c>
      <c r="E26" s="1">
        <v>38808</v>
      </c>
      <c r="F26">
        <v>25</v>
      </c>
      <c r="G26" s="2">
        <v>26.7983252095194</v>
      </c>
      <c r="H26" s="2">
        <v>669.958130237985</v>
      </c>
      <c r="I26" t="s">
        <v>22</v>
      </c>
    </row>
    <row r="27" spans="1:9">
      <c r="A27" t="s">
        <v>116</v>
      </c>
      <c r="B27" t="s">
        <v>117</v>
      </c>
      <c r="C27" t="s">
        <v>20</v>
      </c>
      <c r="D27" t="s">
        <v>21</v>
      </c>
      <c r="E27" s="1">
        <v>39807</v>
      </c>
      <c r="F27">
        <v>32</v>
      </c>
      <c r="G27" s="2">
        <v>29.9348706756959</v>
      </c>
      <c r="H27" s="2">
        <v>957.915861622268</v>
      </c>
      <c r="I27" t="s">
        <v>22</v>
      </c>
    </row>
    <row r="28" spans="1:9">
      <c r="A28" t="s">
        <v>120</v>
      </c>
      <c r="B28" t="s">
        <v>121</v>
      </c>
      <c r="C28" t="s">
        <v>20</v>
      </c>
      <c r="D28" t="s">
        <v>51</v>
      </c>
      <c r="E28" s="1">
        <v>39233</v>
      </c>
      <c r="F28">
        <v>35</v>
      </c>
      <c r="G28" s="2">
        <v>22.5344105761657</v>
      </c>
      <c r="H28" s="2">
        <v>788.704370165799</v>
      </c>
      <c r="I28" t="s">
        <v>22</v>
      </c>
    </row>
    <row r="29" spans="1:9">
      <c r="A29" t="s">
        <v>124</v>
      </c>
      <c r="B29" t="s">
        <v>125</v>
      </c>
      <c r="C29" t="s">
        <v>20</v>
      </c>
      <c r="D29" t="s">
        <v>59</v>
      </c>
      <c r="E29" s="1">
        <v>40155</v>
      </c>
      <c r="F29">
        <v>25</v>
      </c>
      <c r="G29" s="2">
        <v>22.0288511044065</v>
      </c>
      <c r="H29" s="2">
        <v>550.721277610162</v>
      </c>
      <c r="I29" t="s">
        <v>22</v>
      </c>
    </row>
    <row r="30" spans="1:9">
      <c r="A30" t="s">
        <v>128</v>
      </c>
      <c r="B30" t="s">
        <v>129</v>
      </c>
      <c r="C30" t="s">
        <v>20</v>
      </c>
      <c r="D30" t="s">
        <v>51</v>
      </c>
      <c r="E30" s="1">
        <v>38263</v>
      </c>
      <c r="F30">
        <v>40</v>
      </c>
      <c r="G30" s="2">
        <v>22.224435083452</v>
      </c>
      <c r="H30" s="2">
        <v>888.977403338081</v>
      </c>
      <c r="I30" t="s">
        <v>15</v>
      </c>
    </row>
    <row r="31" spans="1:9">
      <c r="A31" t="s">
        <v>132</v>
      </c>
      <c r="B31" t="s">
        <v>133</v>
      </c>
      <c r="C31" t="s">
        <v>27</v>
      </c>
      <c r="D31" t="s">
        <v>14</v>
      </c>
      <c r="E31" s="1">
        <v>39414</v>
      </c>
      <c r="F31">
        <v>35.5</v>
      </c>
      <c r="G31" s="2">
        <v>24.0440594640406</v>
      </c>
      <c r="H31" s="2">
        <v>853.56411097344</v>
      </c>
      <c r="I31" t="s">
        <v>22</v>
      </c>
    </row>
    <row r="32" spans="1:9">
      <c r="A32" t="s">
        <v>136</v>
      </c>
      <c r="B32" t="s">
        <v>137</v>
      </c>
      <c r="C32" t="s">
        <v>27</v>
      </c>
      <c r="D32" t="s">
        <v>21</v>
      </c>
      <c r="E32" s="1">
        <v>39831</v>
      </c>
      <c r="F32">
        <v>29.5</v>
      </c>
      <c r="G32" s="2">
        <v>27.9270088695213</v>
      </c>
      <c r="H32" s="2">
        <v>823.846761650878</v>
      </c>
      <c r="I32" t="s">
        <v>22</v>
      </c>
    </row>
    <row r="33" spans="1:9">
      <c r="A33" t="s">
        <v>140</v>
      </c>
      <c r="B33" t="s">
        <v>141</v>
      </c>
      <c r="C33" t="s">
        <v>13</v>
      </c>
      <c r="D33" t="s">
        <v>59</v>
      </c>
      <c r="E33" s="1">
        <v>38474</v>
      </c>
      <c r="F33">
        <v>40</v>
      </c>
      <c r="G33" s="2">
        <v>25.3218774491568</v>
      </c>
      <c r="H33" s="2">
        <v>1012.87509796627</v>
      </c>
      <c r="I33" t="s">
        <v>15</v>
      </c>
    </row>
    <row r="34" spans="1:9">
      <c r="A34" t="s">
        <v>144</v>
      </c>
      <c r="B34" t="s">
        <v>145</v>
      </c>
      <c r="C34" t="s">
        <v>13</v>
      </c>
      <c r="D34" t="s">
        <v>59</v>
      </c>
      <c r="E34" s="1">
        <v>40205</v>
      </c>
      <c r="F34">
        <v>35.5</v>
      </c>
      <c r="G34" s="2">
        <v>22.0416278412084</v>
      </c>
      <c r="H34" s="2">
        <v>782.477788362898</v>
      </c>
      <c r="I34" t="s">
        <v>22</v>
      </c>
    </row>
    <row r="35" spans="1:9">
      <c r="A35" t="s">
        <v>148</v>
      </c>
      <c r="B35" t="s">
        <v>149</v>
      </c>
      <c r="C35" t="s">
        <v>20</v>
      </c>
      <c r="D35" t="s">
        <v>59</v>
      </c>
      <c r="E35" s="1">
        <v>39053</v>
      </c>
      <c r="F35">
        <v>32</v>
      </c>
      <c r="G35" s="2">
        <v>20.9360592580624</v>
      </c>
      <c r="H35" s="2">
        <v>669.953896257996</v>
      </c>
      <c r="I35" t="s">
        <v>22</v>
      </c>
    </row>
    <row r="36" spans="1:9">
      <c r="A36" t="s">
        <v>152</v>
      </c>
      <c r="B36" t="s">
        <v>153</v>
      </c>
      <c r="C36" t="s">
        <v>27</v>
      </c>
      <c r="D36" t="s">
        <v>14</v>
      </c>
      <c r="E36" s="1">
        <v>38914</v>
      </c>
      <c r="F36">
        <v>35.5</v>
      </c>
      <c r="G36" s="2">
        <v>23.7804724680972</v>
      </c>
      <c r="H36" s="2">
        <v>844.206772617451</v>
      </c>
      <c r="I36" t="s">
        <v>22</v>
      </c>
    </row>
    <row r="37" spans="1:9">
      <c r="A37" t="s">
        <v>156</v>
      </c>
      <c r="B37" t="s">
        <v>157</v>
      </c>
      <c r="C37" t="s">
        <v>20</v>
      </c>
      <c r="D37" t="s">
        <v>59</v>
      </c>
      <c r="E37" s="1">
        <v>38727</v>
      </c>
      <c r="F37">
        <v>35</v>
      </c>
      <c r="G37" s="2">
        <v>26.870973454107</v>
      </c>
      <c r="H37" s="2">
        <v>940.484070893745</v>
      </c>
      <c r="I37" t="s">
        <v>22</v>
      </c>
    </row>
    <row r="38" spans="1:9">
      <c r="A38" t="s">
        <v>160</v>
      </c>
      <c r="B38" t="s">
        <v>161</v>
      </c>
      <c r="C38" t="s">
        <v>27</v>
      </c>
      <c r="D38" t="s">
        <v>14</v>
      </c>
      <c r="E38" s="1">
        <v>38659</v>
      </c>
      <c r="F38">
        <v>40</v>
      </c>
      <c r="G38" s="2">
        <v>28.0351807192208</v>
      </c>
      <c r="H38" s="2">
        <v>1121.40722876883</v>
      </c>
      <c r="I38" t="s">
        <v>15</v>
      </c>
    </row>
    <row r="39" spans="1:9">
      <c r="A39" t="s">
        <v>164</v>
      </c>
      <c r="B39" t="s">
        <v>165</v>
      </c>
      <c r="C39" t="s">
        <v>20</v>
      </c>
      <c r="D39" t="s">
        <v>51</v>
      </c>
      <c r="E39" s="1">
        <v>39430</v>
      </c>
      <c r="F39">
        <v>40</v>
      </c>
      <c r="G39" s="2">
        <v>22.0025822256507</v>
      </c>
      <c r="H39" s="2">
        <v>880.10328902603</v>
      </c>
      <c r="I39" t="s">
        <v>15</v>
      </c>
    </row>
    <row r="40" spans="1:9">
      <c r="A40" t="s">
        <v>168</v>
      </c>
      <c r="B40" t="s">
        <v>169</v>
      </c>
      <c r="C40" t="s">
        <v>20</v>
      </c>
      <c r="D40" t="s">
        <v>14</v>
      </c>
      <c r="E40" s="1">
        <v>38026</v>
      </c>
      <c r="F40">
        <v>40</v>
      </c>
      <c r="G40" s="2">
        <v>24.209926541516</v>
      </c>
      <c r="H40" s="2">
        <v>968.397061660642</v>
      </c>
      <c r="I40" t="s">
        <v>15</v>
      </c>
    </row>
    <row r="41" spans="1:9">
      <c r="A41" t="s">
        <v>172</v>
      </c>
      <c r="B41" t="s">
        <v>173</v>
      </c>
      <c r="C41" t="s">
        <v>20</v>
      </c>
      <c r="D41" t="s">
        <v>51</v>
      </c>
      <c r="E41" s="1">
        <v>39575</v>
      </c>
      <c r="F41">
        <v>40</v>
      </c>
      <c r="G41" s="2">
        <v>26.4166446930878</v>
      </c>
      <c r="H41" s="2">
        <v>1056.66578772351</v>
      </c>
      <c r="I41" t="s">
        <v>15</v>
      </c>
    </row>
    <row r="42" spans="1:9">
      <c r="A42" t="s">
        <v>176</v>
      </c>
      <c r="B42" t="s">
        <v>177</v>
      </c>
      <c r="C42" t="s">
        <v>27</v>
      </c>
      <c r="D42" t="s">
        <v>59</v>
      </c>
      <c r="E42" s="1">
        <v>38989</v>
      </c>
      <c r="F42">
        <v>40</v>
      </c>
      <c r="G42" s="2">
        <v>26.1563408101695</v>
      </c>
      <c r="H42" s="2">
        <v>1046.25363240678</v>
      </c>
      <c r="I42" t="s">
        <v>15</v>
      </c>
    </row>
    <row r="43" spans="1:9">
      <c r="A43" t="s">
        <v>180</v>
      </c>
      <c r="B43" t="s">
        <v>181</v>
      </c>
      <c r="C43" t="s">
        <v>27</v>
      </c>
      <c r="D43" t="s">
        <v>59</v>
      </c>
      <c r="E43" s="1">
        <v>40127</v>
      </c>
      <c r="F43">
        <v>40</v>
      </c>
      <c r="G43" s="2">
        <v>28.8001607672559</v>
      </c>
      <c r="H43" s="2">
        <v>1152.00643069023</v>
      </c>
      <c r="I43" t="s">
        <v>15</v>
      </c>
    </row>
    <row r="44" spans="1:9">
      <c r="A44" t="s">
        <v>184</v>
      </c>
      <c r="B44" t="s">
        <v>185</v>
      </c>
      <c r="C44" t="s">
        <v>27</v>
      </c>
      <c r="D44" t="s">
        <v>14</v>
      </c>
      <c r="E44" s="1">
        <v>39070</v>
      </c>
      <c r="F44">
        <v>35.5</v>
      </c>
      <c r="G44" s="2">
        <v>24.7005037048751</v>
      </c>
      <c r="H44" s="2">
        <v>876.867881523066</v>
      </c>
      <c r="I44" t="s">
        <v>22</v>
      </c>
    </row>
    <row r="45" spans="1:9">
      <c r="A45" t="s">
        <v>187</v>
      </c>
      <c r="B45" t="s">
        <v>188</v>
      </c>
      <c r="C45" t="s">
        <v>36</v>
      </c>
      <c r="D45" t="s">
        <v>21</v>
      </c>
      <c r="E45" s="1">
        <v>39251</v>
      </c>
      <c r="F45">
        <v>40</v>
      </c>
      <c r="G45" s="2">
        <v>24.7208809045488</v>
      </c>
      <c r="H45" s="2">
        <v>988.835236181952</v>
      </c>
      <c r="I45" t="s">
        <v>15</v>
      </c>
    </row>
    <row r="46" spans="1:9">
      <c r="A46" t="s">
        <v>190</v>
      </c>
      <c r="B46" t="s">
        <v>191</v>
      </c>
      <c r="C46" t="s">
        <v>36</v>
      </c>
      <c r="D46" t="s">
        <v>14</v>
      </c>
      <c r="E46" s="1">
        <v>39925</v>
      </c>
      <c r="F46">
        <v>15.5</v>
      </c>
      <c r="G46" s="2">
        <v>22.0461359567629</v>
      </c>
      <c r="H46" s="2">
        <v>341.715107329824</v>
      </c>
      <c r="I46" t="s">
        <v>22</v>
      </c>
    </row>
    <row r="47" spans="1:9">
      <c r="A47" t="s">
        <v>193</v>
      </c>
      <c r="B47" t="s">
        <v>194</v>
      </c>
      <c r="C47" t="s">
        <v>20</v>
      </c>
      <c r="D47" t="s">
        <v>59</v>
      </c>
      <c r="E47" s="1">
        <v>39226</v>
      </c>
      <c r="F47">
        <v>25</v>
      </c>
      <c r="G47" s="2">
        <v>29.0167556854929</v>
      </c>
      <c r="H47" s="2">
        <v>725.418892137322</v>
      </c>
      <c r="I47" t="s">
        <v>22</v>
      </c>
    </row>
    <row r="48" spans="1:9">
      <c r="A48" t="s">
        <v>196</v>
      </c>
      <c r="B48" t="s">
        <v>197</v>
      </c>
      <c r="C48" t="s">
        <v>36</v>
      </c>
      <c r="D48" t="s">
        <v>14</v>
      </c>
      <c r="E48" s="1">
        <v>40561</v>
      </c>
      <c r="F48">
        <v>40</v>
      </c>
      <c r="G48" s="2">
        <v>27.3588677466791</v>
      </c>
      <c r="H48" s="2">
        <v>1094.35470986716</v>
      </c>
      <c r="I48" t="s">
        <v>15</v>
      </c>
    </row>
    <row r="49" spans="1:9">
      <c r="A49" t="s">
        <v>198</v>
      </c>
      <c r="B49" t="s">
        <v>199</v>
      </c>
      <c r="C49" t="s">
        <v>36</v>
      </c>
      <c r="D49" t="s">
        <v>14</v>
      </c>
      <c r="E49" s="1">
        <v>38080</v>
      </c>
      <c r="F49">
        <v>40</v>
      </c>
      <c r="G49" s="2">
        <v>23.5591787626696</v>
      </c>
      <c r="H49" s="2">
        <v>942.367150506783</v>
      </c>
      <c r="I49" t="s">
        <v>15</v>
      </c>
    </row>
    <row r="50" spans="1:9">
      <c r="A50" t="s">
        <v>200</v>
      </c>
      <c r="B50" t="s">
        <v>201</v>
      </c>
      <c r="C50" t="s">
        <v>13</v>
      </c>
      <c r="D50" t="s">
        <v>59</v>
      </c>
      <c r="E50" s="1">
        <v>37784</v>
      </c>
      <c r="F50">
        <v>38</v>
      </c>
      <c r="G50" s="2">
        <v>25.8959240312466</v>
      </c>
      <c r="H50" s="2">
        <v>984.04511318737</v>
      </c>
      <c r="I50" t="s">
        <v>22</v>
      </c>
    </row>
    <row r="51" spans="1:9">
      <c r="A51" t="s">
        <v>202</v>
      </c>
      <c r="B51" t="s">
        <v>203</v>
      </c>
      <c r="C51" t="s">
        <v>20</v>
      </c>
      <c r="D51" t="s">
        <v>51</v>
      </c>
      <c r="E51" s="1">
        <v>40135</v>
      </c>
      <c r="F51">
        <v>40</v>
      </c>
      <c r="G51" s="2">
        <v>23.7440482448647</v>
      </c>
      <c r="H51" s="2">
        <v>949.761929794589</v>
      </c>
      <c r="I51" t="s">
        <v>15</v>
      </c>
    </row>
    <row r="52" spans="1:9">
      <c r="A52" t="s">
        <v>204</v>
      </c>
      <c r="B52" t="s">
        <v>205</v>
      </c>
      <c r="C52" t="s">
        <v>20</v>
      </c>
      <c r="D52" t="s">
        <v>59</v>
      </c>
      <c r="E52" s="1">
        <v>38851</v>
      </c>
      <c r="F52">
        <v>40</v>
      </c>
      <c r="G52" s="2">
        <v>22.1172203389426</v>
      </c>
      <c r="H52" s="2">
        <v>884.688813557704</v>
      </c>
      <c r="I52" t="s">
        <v>15</v>
      </c>
    </row>
    <row r="53" spans="1:9">
      <c r="A53" t="s">
        <v>206</v>
      </c>
      <c r="B53" t="s">
        <v>207</v>
      </c>
      <c r="C53" t="s">
        <v>20</v>
      </c>
      <c r="D53" t="s">
        <v>21</v>
      </c>
      <c r="E53" s="1">
        <v>38995</v>
      </c>
      <c r="F53">
        <v>40</v>
      </c>
      <c r="G53" s="2">
        <v>28.5041873925272</v>
      </c>
      <c r="H53" s="2">
        <v>1140.16749570109</v>
      </c>
      <c r="I53" t="s">
        <v>15</v>
      </c>
    </row>
    <row r="54" spans="1:9">
      <c r="A54" t="s">
        <v>208</v>
      </c>
      <c r="B54" t="s">
        <v>209</v>
      </c>
      <c r="C54" t="s">
        <v>27</v>
      </c>
      <c r="D54" t="s">
        <v>59</v>
      </c>
      <c r="E54" s="1">
        <v>37439</v>
      </c>
      <c r="F54">
        <v>40</v>
      </c>
      <c r="G54" s="2">
        <v>23.8861934229302</v>
      </c>
      <c r="H54" s="2">
        <v>955.447736917208</v>
      </c>
      <c r="I54" t="s">
        <v>15</v>
      </c>
    </row>
    <row r="55" spans="1:9">
      <c r="A55" t="s">
        <v>210</v>
      </c>
      <c r="B55" t="s">
        <v>211</v>
      </c>
      <c r="C55" t="s">
        <v>13</v>
      </c>
      <c r="D55" t="s">
        <v>51</v>
      </c>
      <c r="E55" s="1">
        <v>40601</v>
      </c>
      <c r="F55">
        <v>40</v>
      </c>
      <c r="G55" s="2">
        <v>24.4318025315317</v>
      </c>
      <c r="H55" s="2">
        <v>977.272101261268</v>
      </c>
      <c r="I55" t="s">
        <v>15</v>
      </c>
    </row>
    <row r="56" spans="1:9">
      <c r="A56" t="s">
        <v>212</v>
      </c>
      <c r="B56" t="s">
        <v>213</v>
      </c>
      <c r="C56" t="s">
        <v>27</v>
      </c>
      <c r="D56" t="s">
        <v>21</v>
      </c>
      <c r="E56" s="1">
        <v>36264</v>
      </c>
      <c r="F56">
        <v>40</v>
      </c>
      <c r="G56" s="2">
        <v>24.3651867901812</v>
      </c>
      <c r="H56" s="2">
        <v>974.607471607247</v>
      </c>
      <c r="I56" t="s">
        <v>15</v>
      </c>
    </row>
    <row r="57" spans="1:9">
      <c r="A57" t="s">
        <v>214</v>
      </c>
      <c r="B57" t="s">
        <v>215</v>
      </c>
      <c r="C57" t="s">
        <v>20</v>
      </c>
      <c r="D57" t="s">
        <v>14</v>
      </c>
      <c r="E57" s="1">
        <v>39238</v>
      </c>
      <c r="F57">
        <v>40</v>
      </c>
      <c r="G57" s="2">
        <v>26.7929940105714</v>
      </c>
      <c r="H57" s="2">
        <v>1071.71976042286</v>
      </c>
      <c r="I57" t="s">
        <v>15</v>
      </c>
    </row>
    <row r="58" spans="1:9">
      <c r="A58" t="s">
        <v>216</v>
      </c>
      <c r="B58" t="s">
        <v>217</v>
      </c>
      <c r="C58" t="s">
        <v>13</v>
      </c>
      <c r="D58" t="s">
        <v>59</v>
      </c>
      <c r="E58" s="1">
        <v>40754</v>
      </c>
      <c r="F58">
        <v>32</v>
      </c>
      <c r="G58" s="2">
        <v>26.9521621799409</v>
      </c>
      <c r="H58" s="2">
        <v>862.46918975811</v>
      </c>
      <c r="I58" t="s">
        <v>22</v>
      </c>
    </row>
    <row r="59" spans="1:9">
      <c r="A59" t="s">
        <v>218</v>
      </c>
      <c r="B59" t="s">
        <v>219</v>
      </c>
      <c r="C59" t="s">
        <v>36</v>
      </c>
      <c r="D59" t="s">
        <v>14</v>
      </c>
      <c r="E59" s="1">
        <v>39138</v>
      </c>
      <c r="F59">
        <v>15.5</v>
      </c>
      <c r="G59" s="2">
        <v>26.3802017837466</v>
      </c>
      <c r="H59" s="2">
        <v>408.893127648072</v>
      </c>
      <c r="I59" t="s">
        <v>22</v>
      </c>
    </row>
    <row r="60" spans="1:9">
      <c r="A60" t="s">
        <v>220</v>
      </c>
      <c r="B60" t="s">
        <v>221</v>
      </c>
      <c r="C60" t="s">
        <v>36</v>
      </c>
      <c r="D60" t="s">
        <v>14</v>
      </c>
      <c r="E60" s="1">
        <v>38217</v>
      </c>
      <c r="F60">
        <v>40</v>
      </c>
      <c r="G60" s="2">
        <v>29.4332293587101</v>
      </c>
      <c r="H60" s="2">
        <v>1177.32917434841</v>
      </c>
      <c r="I60" t="s">
        <v>15</v>
      </c>
    </row>
    <row r="61" spans="1:9">
      <c r="A61" t="s">
        <v>222</v>
      </c>
      <c r="B61" t="s">
        <v>223</v>
      </c>
      <c r="C61" t="s">
        <v>27</v>
      </c>
      <c r="D61" t="s">
        <v>21</v>
      </c>
      <c r="E61" s="1">
        <v>39378</v>
      </c>
      <c r="F61">
        <v>40</v>
      </c>
      <c r="G61" s="2">
        <v>22.9135978775507</v>
      </c>
      <c r="H61" s="2">
        <v>916.54391510203</v>
      </c>
      <c r="I61" t="s">
        <v>15</v>
      </c>
    </row>
    <row r="62" spans="1:9">
      <c r="A62" t="s">
        <v>224</v>
      </c>
      <c r="B62" t="s">
        <v>225</v>
      </c>
      <c r="C62" t="s">
        <v>27</v>
      </c>
      <c r="D62" t="s">
        <v>14</v>
      </c>
      <c r="E62" s="1">
        <v>41968</v>
      </c>
      <c r="F62">
        <v>40</v>
      </c>
      <c r="G62" s="2">
        <v>21.063510642513</v>
      </c>
      <c r="H62" s="2">
        <v>842.540425700521</v>
      </c>
      <c r="I62" t="s">
        <v>15</v>
      </c>
    </row>
    <row r="63" spans="1:9">
      <c r="A63" t="s">
        <v>226</v>
      </c>
      <c r="B63" t="s">
        <v>227</v>
      </c>
      <c r="C63" t="s">
        <v>20</v>
      </c>
      <c r="D63" t="s">
        <v>14</v>
      </c>
      <c r="E63" s="1">
        <v>40397</v>
      </c>
      <c r="F63">
        <v>35</v>
      </c>
      <c r="G63" s="2">
        <v>26.1930616475145</v>
      </c>
      <c r="H63" s="2">
        <v>916.757157663007</v>
      </c>
      <c r="I63" t="s">
        <v>22</v>
      </c>
    </row>
    <row r="64" spans="1:9">
      <c r="A64" t="s">
        <v>228</v>
      </c>
      <c r="B64" t="s">
        <v>229</v>
      </c>
      <c r="C64" t="s">
        <v>13</v>
      </c>
      <c r="D64" t="s">
        <v>14</v>
      </c>
      <c r="E64" s="1">
        <v>38068</v>
      </c>
      <c r="F64">
        <v>35.5</v>
      </c>
      <c r="G64" s="2">
        <v>26.441106244959</v>
      </c>
      <c r="H64" s="2">
        <v>938.659271696046</v>
      </c>
      <c r="I64" t="s">
        <v>22</v>
      </c>
    </row>
    <row r="65" spans="1:9">
      <c r="A65" t="s">
        <v>230</v>
      </c>
      <c r="B65" t="s">
        <v>231</v>
      </c>
      <c r="C65" t="s">
        <v>13</v>
      </c>
      <c r="D65" t="s">
        <v>51</v>
      </c>
      <c r="E65" s="1">
        <v>38211</v>
      </c>
      <c r="F65">
        <v>32</v>
      </c>
      <c r="G65" s="2">
        <v>20.8628676904625</v>
      </c>
      <c r="H65" s="2">
        <v>667.6117660948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236</v>
      </c>
      <c r="B68" t="s">
        <v>237</v>
      </c>
      <c r="C68" t="s">
        <v>27</v>
      </c>
      <c r="D68" t="s">
        <v>59</v>
      </c>
      <c r="E68" s="1">
        <v>39418</v>
      </c>
      <c r="F68">
        <v>29.5</v>
      </c>
      <c r="G68" s="2">
        <v>27.2459372602021</v>
      </c>
      <c r="H68" s="2">
        <v>803.755149175961</v>
      </c>
      <c r="I68" t="s">
        <v>22</v>
      </c>
    </row>
    <row r="69" spans="1:9">
      <c r="A69" t="s">
        <v>238</v>
      </c>
      <c r="B69" t="s">
        <v>239</v>
      </c>
      <c r="C69" t="s">
        <v>13</v>
      </c>
      <c r="D69" t="s">
        <v>21</v>
      </c>
      <c r="E69" s="1">
        <v>40268</v>
      </c>
      <c r="F69">
        <v>32</v>
      </c>
      <c r="G69" s="2">
        <v>24.7808249198699</v>
      </c>
      <c r="H69" s="2">
        <v>792.986397435835</v>
      </c>
      <c r="I69" t="s">
        <v>22</v>
      </c>
    </row>
    <row r="70" spans="1:9">
      <c r="A70" t="s">
        <v>240</v>
      </c>
      <c r="B70" t="s">
        <v>241</v>
      </c>
      <c r="C70" t="s">
        <v>36</v>
      </c>
      <c r="D70" t="s">
        <v>21</v>
      </c>
      <c r="E70" s="1">
        <v>39770</v>
      </c>
      <c r="F70">
        <v>35</v>
      </c>
      <c r="G70" s="2">
        <v>20.9514694627171</v>
      </c>
      <c r="H70" s="2">
        <v>733.301431195098</v>
      </c>
      <c r="I70" t="s">
        <v>22</v>
      </c>
    </row>
    <row r="71" spans="1:9">
      <c r="A71" t="s">
        <v>242</v>
      </c>
      <c r="B71" t="s">
        <v>243</v>
      </c>
      <c r="C71" t="s">
        <v>27</v>
      </c>
      <c r="D71" t="s">
        <v>51</v>
      </c>
      <c r="E71" s="1">
        <v>37263</v>
      </c>
      <c r="F71">
        <v>40</v>
      </c>
      <c r="G71" s="2">
        <v>24.2132465350738</v>
      </c>
      <c r="H71" s="2">
        <v>968.529861402952</v>
      </c>
      <c r="I71" t="s">
        <v>15</v>
      </c>
    </row>
    <row r="72" spans="1:9">
      <c r="A72" t="s">
        <v>244</v>
      </c>
      <c r="B72" t="s">
        <v>245</v>
      </c>
      <c r="C72" t="s">
        <v>36</v>
      </c>
      <c r="D72" t="s">
        <v>51</v>
      </c>
      <c r="E72" s="1">
        <v>38990</v>
      </c>
      <c r="F72">
        <v>40</v>
      </c>
      <c r="G72" s="2">
        <v>26.6733350813367</v>
      </c>
      <c r="H72" s="2">
        <v>1066.93340325347</v>
      </c>
      <c r="I72" t="s">
        <v>15</v>
      </c>
    </row>
    <row r="73" spans="1:9">
      <c r="A73" t="s">
        <v>246</v>
      </c>
      <c r="B73" t="s">
        <v>247</v>
      </c>
      <c r="C73" t="s">
        <v>36</v>
      </c>
      <c r="D73" t="s">
        <v>51</v>
      </c>
      <c r="E73" s="1">
        <v>38288</v>
      </c>
      <c r="F73">
        <v>40</v>
      </c>
      <c r="G73" s="2">
        <v>23.270898653239</v>
      </c>
      <c r="H73" s="2">
        <v>930.835946129561</v>
      </c>
      <c r="I73" t="s">
        <v>15</v>
      </c>
    </row>
    <row r="74" spans="1:9">
      <c r="A74" t="s">
        <v>248</v>
      </c>
      <c r="B74" t="s">
        <v>249</v>
      </c>
      <c r="C74" t="s">
        <v>27</v>
      </c>
      <c r="D74" t="s">
        <v>51</v>
      </c>
      <c r="E74" s="1">
        <v>39752</v>
      </c>
      <c r="F74">
        <v>40</v>
      </c>
      <c r="G74" s="2">
        <v>29.6126531698801</v>
      </c>
      <c r="H74" s="2">
        <v>1184.5061267952</v>
      </c>
      <c r="I74" t="s">
        <v>15</v>
      </c>
    </row>
    <row r="75" spans="1:9">
      <c r="A75" t="s">
        <v>250</v>
      </c>
      <c r="B75" t="s">
        <v>251</v>
      </c>
      <c r="C75" t="s">
        <v>20</v>
      </c>
      <c r="D75" t="s">
        <v>59</v>
      </c>
      <c r="E75" s="1">
        <v>38029</v>
      </c>
      <c r="F75">
        <v>25</v>
      </c>
      <c r="G75" s="2">
        <v>27.1249727517577</v>
      </c>
      <c r="H75" s="2">
        <v>678.124318793942</v>
      </c>
      <c r="I75" t="s">
        <v>22</v>
      </c>
    </row>
    <row r="76" spans="1:9">
      <c r="A76" t="s">
        <v>252</v>
      </c>
      <c r="B76" t="s">
        <v>253</v>
      </c>
      <c r="C76" t="s">
        <v>13</v>
      </c>
      <c r="D76" t="s">
        <v>51</v>
      </c>
      <c r="E76" s="1">
        <v>38990</v>
      </c>
      <c r="F76">
        <v>40</v>
      </c>
      <c r="G76" s="2">
        <v>20.55570522982</v>
      </c>
      <c r="H76" s="2">
        <v>822.2282091928</v>
      </c>
      <c r="I76" t="s">
        <v>15</v>
      </c>
    </row>
    <row r="77" spans="1:9">
      <c r="A77" t="s">
        <v>254</v>
      </c>
      <c r="B77" t="s">
        <v>255</v>
      </c>
      <c r="C77" t="s">
        <v>27</v>
      </c>
      <c r="D77" t="s">
        <v>51</v>
      </c>
      <c r="E77" s="1">
        <v>40139</v>
      </c>
      <c r="F77">
        <v>42</v>
      </c>
      <c r="G77" s="2">
        <v>23.7429467910733</v>
      </c>
      <c r="H77" s="2">
        <v>997.20376522508</v>
      </c>
      <c r="I77" t="s">
        <v>15</v>
      </c>
    </row>
    <row r="78" spans="1:9">
      <c r="A78" t="s">
        <v>256</v>
      </c>
      <c r="B78" t="s">
        <v>257</v>
      </c>
      <c r="C78" t="s">
        <v>13</v>
      </c>
      <c r="D78" t="s">
        <v>14</v>
      </c>
      <c r="E78" s="1">
        <v>39601</v>
      </c>
      <c r="F78">
        <v>25</v>
      </c>
      <c r="G78" s="2">
        <v>20.6563505176776</v>
      </c>
      <c r="H78" s="2">
        <v>516.40876294194</v>
      </c>
      <c r="I78" t="s">
        <v>22</v>
      </c>
    </row>
    <row r="79" spans="1:9">
      <c r="A79" t="s">
        <v>258</v>
      </c>
      <c r="B79" t="s">
        <v>259</v>
      </c>
      <c r="C79" t="s">
        <v>20</v>
      </c>
      <c r="D79" t="s">
        <v>21</v>
      </c>
      <c r="E79" s="1">
        <v>40035</v>
      </c>
      <c r="F79">
        <v>40</v>
      </c>
      <c r="G79" s="2">
        <v>24.7613808611318</v>
      </c>
      <c r="H79" s="2">
        <v>990.455234445274</v>
      </c>
      <c r="I79" t="s">
        <v>15</v>
      </c>
    </row>
    <row r="80" spans="1:9">
      <c r="A80" t="s">
        <v>260</v>
      </c>
      <c r="B80" t="s">
        <v>261</v>
      </c>
      <c r="C80" t="s">
        <v>27</v>
      </c>
      <c r="D80" t="s">
        <v>59</v>
      </c>
      <c r="E80" s="1">
        <v>40296</v>
      </c>
      <c r="F80">
        <v>42</v>
      </c>
      <c r="G80" s="2">
        <v>21.2089102328483</v>
      </c>
      <c r="H80" s="2">
        <v>890.774229779629</v>
      </c>
      <c r="I80" t="s">
        <v>15</v>
      </c>
    </row>
    <row r="81" spans="1:9">
      <c r="A81" t="s">
        <v>262</v>
      </c>
      <c r="B81" t="s">
        <v>263</v>
      </c>
      <c r="C81" t="s">
        <v>27</v>
      </c>
      <c r="D81" t="s">
        <v>14</v>
      </c>
      <c r="E81" s="1">
        <v>36953</v>
      </c>
      <c r="F81">
        <v>40</v>
      </c>
      <c r="G81" s="2">
        <v>29.6869323887969</v>
      </c>
      <c r="H81" s="2">
        <v>1187.47729555188</v>
      </c>
      <c r="I81" t="s">
        <v>15</v>
      </c>
    </row>
    <row r="82" spans="1:9">
      <c r="A82" t="s">
        <v>264</v>
      </c>
      <c r="B82" t="s">
        <v>265</v>
      </c>
      <c r="C82" t="s">
        <v>36</v>
      </c>
      <c r="D82" t="s">
        <v>14</v>
      </c>
      <c r="E82" s="1">
        <v>36948</v>
      </c>
      <c r="F82">
        <v>15.5</v>
      </c>
      <c r="G82" s="2">
        <v>27.0324725336245</v>
      </c>
      <c r="H82" s="2">
        <v>419.003324271179</v>
      </c>
      <c r="I82" t="s">
        <v>22</v>
      </c>
    </row>
    <row r="83" spans="1:9">
      <c r="A83" t="s">
        <v>266</v>
      </c>
      <c r="B83" t="s">
        <v>267</v>
      </c>
      <c r="C83" t="s">
        <v>27</v>
      </c>
      <c r="D83" t="s">
        <v>21</v>
      </c>
      <c r="E83" s="1">
        <v>40537</v>
      </c>
      <c r="F83">
        <v>40</v>
      </c>
      <c r="G83" s="2">
        <v>23.8393078808562</v>
      </c>
      <c r="H83" s="2">
        <v>953.572315234248</v>
      </c>
      <c r="I83" t="s">
        <v>15</v>
      </c>
    </row>
    <row r="84" spans="1:9">
      <c r="A84" t="s">
        <v>268</v>
      </c>
      <c r="B84" t="s">
        <v>269</v>
      </c>
      <c r="C84" t="s">
        <v>27</v>
      </c>
      <c r="D84" t="s">
        <v>21</v>
      </c>
      <c r="E84" s="1">
        <v>40692</v>
      </c>
      <c r="F84">
        <v>29.5</v>
      </c>
      <c r="G84" s="2">
        <v>26.1711140052097</v>
      </c>
      <c r="H84" s="2">
        <v>772.047863153687</v>
      </c>
      <c r="I84" t="s">
        <v>22</v>
      </c>
    </row>
    <row r="85" spans="1:9">
      <c r="A85" t="s">
        <v>270</v>
      </c>
      <c r="B85" t="s">
        <v>271</v>
      </c>
      <c r="C85" t="s">
        <v>27</v>
      </c>
      <c r="D85" t="s">
        <v>21</v>
      </c>
      <c r="E85" s="1">
        <v>38211</v>
      </c>
      <c r="F85">
        <v>29.5</v>
      </c>
      <c r="G85" s="2">
        <v>24.9382581014963</v>
      </c>
      <c r="H85" s="2">
        <v>735.67861399414</v>
      </c>
      <c r="I85" t="s">
        <v>22</v>
      </c>
    </row>
    <row r="86" spans="1:9">
      <c r="A86" t="s">
        <v>272</v>
      </c>
      <c r="B86" t="s">
        <v>273</v>
      </c>
      <c r="C86" t="s">
        <v>36</v>
      </c>
      <c r="D86" t="s">
        <v>21</v>
      </c>
      <c r="E86" s="1">
        <v>39435</v>
      </c>
      <c r="F86">
        <v>40</v>
      </c>
      <c r="G86" s="2">
        <v>21.9331419032506</v>
      </c>
      <c r="H86" s="2">
        <v>877.325676130023</v>
      </c>
      <c r="I86" t="s">
        <v>15</v>
      </c>
    </row>
    <row r="87" spans="1:9">
      <c r="A87" t="s">
        <v>274</v>
      </c>
      <c r="B87" t="s">
        <v>275</v>
      </c>
      <c r="C87" t="s">
        <v>36</v>
      </c>
      <c r="D87" t="s">
        <v>14</v>
      </c>
      <c r="E87" s="1">
        <v>40417</v>
      </c>
      <c r="F87">
        <v>15.5</v>
      </c>
      <c r="G87" s="2">
        <v>22.2269085765447</v>
      </c>
      <c r="H87" s="2">
        <v>344.517082936443</v>
      </c>
      <c r="I87" t="s">
        <v>22</v>
      </c>
    </row>
    <row r="88" spans="1:9">
      <c r="A88" t="s">
        <v>276</v>
      </c>
      <c r="B88" t="s">
        <v>277</v>
      </c>
      <c r="C88" t="s">
        <v>36</v>
      </c>
      <c r="D88" t="s">
        <v>21</v>
      </c>
      <c r="E88" s="1">
        <v>38880</v>
      </c>
      <c r="F88">
        <v>40</v>
      </c>
      <c r="G88" s="2">
        <v>28.5121956001453</v>
      </c>
      <c r="H88" s="2">
        <v>1140.48782400581</v>
      </c>
      <c r="I88" t="s">
        <v>15</v>
      </c>
    </row>
    <row r="89" spans="1:9">
      <c r="A89" t="s">
        <v>278</v>
      </c>
      <c r="B89" t="s">
        <v>279</v>
      </c>
      <c r="C89" t="s">
        <v>20</v>
      </c>
      <c r="D89" t="s">
        <v>59</v>
      </c>
      <c r="E89" s="1">
        <v>38084</v>
      </c>
      <c r="F89">
        <v>38</v>
      </c>
      <c r="G89" s="2">
        <v>26.1580386214767</v>
      </c>
      <c r="H89" s="2">
        <v>994.005467616114</v>
      </c>
      <c r="I89" t="s">
        <v>22</v>
      </c>
    </row>
    <row r="90" spans="1:9">
      <c r="A90" t="s">
        <v>280</v>
      </c>
      <c r="B90" t="s">
        <v>281</v>
      </c>
      <c r="C90" t="s">
        <v>20</v>
      </c>
      <c r="D90" t="s">
        <v>14</v>
      </c>
      <c r="E90" s="1">
        <v>37112</v>
      </c>
      <c r="F90">
        <v>38</v>
      </c>
      <c r="G90" s="2">
        <v>29.9674239695174</v>
      </c>
      <c r="H90" s="2">
        <v>1138.76211084166</v>
      </c>
      <c r="I90" t="s">
        <v>22</v>
      </c>
    </row>
    <row r="91" spans="1:9">
      <c r="A91" t="s">
        <v>282</v>
      </c>
      <c r="B91" t="s">
        <v>283</v>
      </c>
      <c r="C91" t="s">
        <v>27</v>
      </c>
      <c r="D91" t="s">
        <v>51</v>
      </c>
      <c r="E91" s="1">
        <v>37948</v>
      </c>
      <c r="F91">
        <v>40</v>
      </c>
      <c r="G91" s="2">
        <v>25.3452862696831</v>
      </c>
      <c r="H91" s="2">
        <v>1013.81145078732</v>
      </c>
      <c r="I91" t="s">
        <v>15</v>
      </c>
    </row>
    <row r="92" spans="1:9">
      <c r="A92" t="s">
        <v>284</v>
      </c>
      <c r="B92" t="s">
        <v>285</v>
      </c>
      <c r="C92" t="s">
        <v>36</v>
      </c>
      <c r="D92" t="s">
        <v>14</v>
      </c>
      <c r="E92" s="1">
        <v>39059</v>
      </c>
      <c r="F92">
        <v>40</v>
      </c>
      <c r="G92" s="2">
        <v>25.6019372294119</v>
      </c>
      <c r="H92" s="2">
        <v>1024.07748917648</v>
      </c>
      <c r="I92" t="s">
        <v>15</v>
      </c>
    </row>
    <row r="93" spans="1:9">
      <c r="A93" t="s">
        <v>286</v>
      </c>
      <c r="B93" t="s">
        <v>287</v>
      </c>
      <c r="C93" t="s">
        <v>20</v>
      </c>
      <c r="D93" t="s">
        <v>14</v>
      </c>
      <c r="E93" s="1">
        <v>38533</v>
      </c>
      <c r="F93">
        <v>35.5</v>
      </c>
      <c r="G93" s="2">
        <v>23.9214244689799</v>
      </c>
      <c r="H93" s="2">
        <v>849.210568648788</v>
      </c>
      <c r="I93" t="s">
        <v>22</v>
      </c>
    </row>
    <row r="94" spans="1:9">
      <c r="A94" t="s">
        <v>288</v>
      </c>
      <c r="B94" t="s">
        <v>289</v>
      </c>
      <c r="C94" t="s">
        <v>36</v>
      </c>
      <c r="D94" t="s">
        <v>59</v>
      </c>
      <c r="E94" s="1">
        <v>38744</v>
      </c>
      <c r="F94">
        <v>35</v>
      </c>
      <c r="G94" s="2">
        <v>20.3208991153415</v>
      </c>
      <c r="H94" s="2">
        <v>711.231469036951</v>
      </c>
      <c r="I94" t="s">
        <v>22</v>
      </c>
    </row>
    <row r="95" spans="1:9">
      <c r="A95" t="s">
        <v>290</v>
      </c>
      <c r="B95" t="s">
        <v>291</v>
      </c>
      <c r="C95" t="s">
        <v>20</v>
      </c>
      <c r="D95" t="s">
        <v>59</v>
      </c>
      <c r="E95" s="1">
        <v>40119</v>
      </c>
      <c r="F95">
        <v>35</v>
      </c>
      <c r="G95" s="2">
        <v>27.5256373926534</v>
      </c>
      <c r="H95" s="2">
        <v>963.397308742868</v>
      </c>
      <c r="I95" t="s">
        <v>22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workbookViewId="0">
      <selection activeCell="A1" sqref="A1:I95"/>
    </sheetView>
  </sheetViews>
  <sheetFormatPr defaultColWidth="8.88888888888889" defaultRowHeight="14.4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</row>
    <row r="3" spans="1:9">
      <c r="A3" t="s">
        <v>18</v>
      </c>
      <c r="B3" t="s">
        <v>19</v>
      </c>
      <c r="C3" t="s">
        <v>20</v>
      </c>
      <c r="D3" t="s">
        <v>21</v>
      </c>
      <c r="E3" s="1">
        <v>40574</v>
      </c>
      <c r="F3">
        <v>35</v>
      </c>
      <c r="G3" s="2">
        <v>27.7308540634317</v>
      </c>
      <c r="H3" s="2">
        <v>970.57989222011</v>
      </c>
      <c r="I3" t="s">
        <v>22</v>
      </c>
    </row>
    <row r="4" spans="1:9">
      <c r="A4" t="s">
        <v>25</v>
      </c>
      <c r="B4" t="s">
        <v>26</v>
      </c>
      <c r="C4" t="s">
        <v>27</v>
      </c>
      <c r="D4" t="s">
        <v>14</v>
      </c>
      <c r="E4" s="1">
        <v>39089</v>
      </c>
      <c r="F4">
        <v>42</v>
      </c>
      <c r="G4" s="2">
        <v>23.2385457007659</v>
      </c>
      <c r="H4" s="2">
        <v>976.018919432168</v>
      </c>
      <c r="I4" t="s">
        <v>15</v>
      </c>
    </row>
    <row r="5" spans="1:9">
      <c r="A5" t="s">
        <v>30</v>
      </c>
      <c r="B5" t="s">
        <v>31</v>
      </c>
      <c r="C5" t="s">
        <v>20</v>
      </c>
      <c r="D5" t="s">
        <v>14</v>
      </c>
      <c r="E5" s="1">
        <v>40095</v>
      </c>
      <c r="F5">
        <v>40</v>
      </c>
      <c r="G5" s="2">
        <v>29.6040358356933</v>
      </c>
      <c r="H5" s="2">
        <v>1184.16143342773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14</v>
      </c>
      <c r="E6" s="1">
        <v>38863</v>
      </c>
      <c r="F6">
        <v>40</v>
      </c>
      <c r="G6" s="2">
        <v>20.2945957445476</v>
      </c>
      <c r="H6" s="2">
        <v>811.783829781904</v>
      </c>
      <c r="I6" t="s">
        <v>15</v>
      </c>
    </row>
    <row r="7" spans="1:9">
      <c r="A7" t="s">
        <v>38</v>
      </c>
      <c r="B7" t="s">
        <v>39</v>
      </c>
      <c r="C7" t="s">
        <v>27</v>
      </c>
      <c r="D7" t="s">
        <v>21</v>
      </c>
      <c r="E7" s="1">
        <v>39329</v>
      </c>
      <c r="F7">
        <v>29.5</v>
      </c>
      <c r="G7" s="2">
        <v>22.5040616496157</v>
      </c>
      <c r="H7" s="2">
        <v>663.869818663664</v>
      </c>
      <c r="I7" t="s">
        <v>22</v>
      </c>
    </row>
    <row r="8" spans="1:9">
      <c r="A8" t="s">
        <v>42</v>
      </c>
      <c r="B8" t="s">
        <v>43</v>
      </c>
      <c r="C8" t="s">
        <v>27</v>
      </c>
      <c r="D8" t="s">
        <v>14</v>
      </c>
      <c r="E8" s="1">
        <v>38372</v>
      </c>
      <c r="F8">
        <v>35.5</v>
      </c>
      <c r="G8" s="2">
        <v>23.7146915473977</v>
      </c>
      <c r="H8" s="2">
        <v>841.87154993262</v>
      </c>
      <c r="I8" t="s">
        <v>22</v>
      </c>
    </row>
    <row r="9" spans="1:9">
      <c r="A9" t="s">
        <v>46</v>
      </c>
      <c r="B9" t="s">
        <v>47</v>
      </c>
      <c r="C9" t="s">
        <v>27</v>
      </c>
      <c r="D9" t="s">
        <v>21</v>
      </c>
      <c r="E9" s="1">
        <v>37721</v>
      </c>
      <c r="F9">
        <v>40</v>
      </c>
      <c r="G9" s="2">
        <v>24.6342558337354</v>
      </c>
      <c r="H9" s="2">
        <v>985.370233349417</v>
      </c>
      <c r="I9" t="s">
        <v>15</v>
      </c>
    </row>
    <row r="10" spans="1:9">
      <c r="A10" t="s">
        <v>49</v>
      </c>
      <c r="B10" t="s">
        <v>50</v>
      </c>
      <c r="C10" t="s">
        <v>36</v>
      </c>
      <c r="D10" t="s">
        <v>51</v>
      </c>
      <c r="E10" s="1">
        <v>38014</v>
      </c>
      <c r="F10">
        <v>40</v>
      </c>
      <c r="G10" s="2">
        <v>24.0625161257531</v>
      </c>
      <c r="H10" s="2">
        <v>962.500645030123</v>
      </c>
      <c r="I10" t="s">
        <v>15</v>
      </c>
    </row>
    <row r="11" spans="1:9">
      <c r="A11" t="s">
        <v>54</v>
      </c>
      <c r="B11" t="s">
        <v>55</v>
      </c>
      <c r="C11" t="s">
        <v>27</v>
      </c>
      <c r="D11" t="s">
        <v>14</v>
      </c>
      <c r="E11" s="1">
        <v>39406</v>
      </c>
      <c r="F11">
        <v>35.5</v>
      </c>
      <c r="G11" s="2">
        <v>22.4745266505368</v>
      </c>
      <c r="H11" s="2">
        <v>797.845696094057</v>
      </c>
      <c r="I11" t="s">
        <v>22</v>
      </c>
    </row>
    <row r="12" spans="1:9">
      <c r="A12" t="s">
        <v>57</v>
      </c>
      <c r="B12" t="s">
        <v>58</v>
      </c>
      <c r="C12" t="s">
        <v>36</v>
      </c>
      <c r="D12" t="s">
        <v>59</v>
      </c>
      <c r="E12" s="1">
        <v>40636</v>
      </c>
      <c r="F12">
        <v>40</v>
      </c>
      <c r="G12" s="2">
        <v>26.2274469754406</v>
      </c>
      <c r="H12" s="2">
        <v>1049.09787901763</v>
      </c>
      <c r="I12" t="s">
        <v>15</v>
      </c>
    </row>
    <row r="13" spans="1:9">
      <c r="A13" t="s">
        <v>62</v>
      </c>
      <c r="B13" t="s">
        <v>63</v>
      </c>
      <c r="C13" t="s">
        <v>36</v>
      </c>
      <c r="D13" t="s">
        <v>59</v>
      </c>
      <c r="E13" s="1">
        <v>37299</v>
      </c>
      <c r="F13">
        <v>40</v>
      </c>
      <c r="G13" s="2">
        <v>20.4595521381667</v>
      </c>
      <c r="H13" s="2">
        <v>818.382085526669</v>
      </c>
      <c r="I13" t="s">
        <v>15</v>
      </c>
    </row>
    <row r="14" spans="1:9">
      <c r="A14" t="s">
        <v>65</v>
      </c>
      <c r="B14" t="s">
        <v>66</v>
      </c>
      <c r="C14" t="s">
        <v>36</v>
      </c>
      <c r="D14" t="s">
        <v>14</v>
      </c>
      <c r="E14" s="1">
        <v>39601</v>
      </c>
      <c r="F14">
        <v>40</v>
      </c>
      <c r="G14" s="2">
        <v>20.3846080101342</v>
      </c>
      <c r="H14" s="2">
        <v>815.384320405368</v>
      </c>
      <c r="I14" t="s">
        <v>15</v>
      </c>
    </row>
    <row r="15" spans="1:9">
      <c r="A15" t="s">
        <v>69</v>
      </c>
      <c r="B15" t="s">
        <v>70</v>
      </c>
      <c r="C15" t="s">
        <v>36</v>
      </c>
      <c r="D15" t="s">
        <v>59</v>
      </c>
      <c r="E15" s="1">
        <v>39051</v>
      </c>
      <c r="F15">
        <v>15.5</v>
      </c>
      <c r="G15" s="2">
        <v>23.8590814253866</v>
      </c>
      <c r="H15" s="2">
        <v>369.815762093492</v>
      </c>
      <c r="I15" t="s">
        <v>22</v>
      </c>
    </row>
    <row r="16" spans="1:9">
      <c r="A16" t="s">
        <v>72</v>
      </c>
      <c r="B16" t="s">
        <v>73</v>
      </c>
      <c r="C16" t="s">
        <v>13</v>
      </c>
      <c r="D16" t="s">
        <v>59</v>
      </c>
      <c r="E16" s="1">
        <v>39223</v>
      </c>
      <c r="F16">
        <v>38</v>
      </c>
      <c r="G16" s="2">
        <v>26.2234936764226</v>
      </c>
      <c r="H16" s="2">
        <v>996.49275970406</v>
      </c>
      <c r="I16" t="s">
        <v>22</v>
      </c>
    </row>
    <row r="17" spans="1:9">
      <c r="A17" t="s">
        <v>76</v>
      </c>
      <c r="B17" t="s">
        <v>77</v>
      </c>
      <c r="C17" t="s">
        <v>20</v>
      </c>
      <c r="D17" t="s">
        <v>59</v>
      </c>
      <c r="E17" s="1">
        <v>39259</v>
      </c>
      <c r="F17">
        <v>40</v>
      </c>
      <c r="G17" s="2">
        <v>24.122312108731</v>
      </c>
      <c r="H17" s="2">
        <v>964.89248434924</v>
      </c>
      <c r="I17" t="s">
        <v>15</v>
      </c>
    </row>
    <row r="18" spans="1:9">
      <c r="A18" t="s">
        <v>80</v>
      </c>
      <c r="B18" t="s">
        <v>81</v>
      </c>
      <c r="C18" t="s">
        <v>27</v>
      </c>
      <c r="D18" t="s">
        <v>14</v>
      </c>
      <c r="E18" s="1">
        <v>40108</v>
      </c>
      <c r="F18">
        <v>40</v>
      </c>
      <c r="G18" s="2">
        <v>27.4278911367849</v>
      </c>
      <c r="H18" s="2">
        <v>1097.11564547139</v>
      </c>
      <c r="I18" t="s">
        <v>15</v>
      </c>
    </row>
    <row r="19" spans="1:9">
      <c r="A19" t="s">
        <v>84</v>
      </c>
      <c r="B19" t="s">
        <v>85</v>
      </c>
      <c r="C19" t="s">
        <v>13</v>
      </c>
      <c r="D19" t="s">
        <v>14</v>
      </c>
      <c r="E19" s="1">
        <v>39865</v>
      </c>
      <c r="F19">
        <v>35</v>
      </c>
      <c r="G19" s="2">
        <v>24.9864365543203</v>
      </c>
      <c r="H19" s="2">
        <v>874.525279401211</v>
      </c>
      <c r="I19" t="s">
        <v>22</v>
      </c>
    </row>
    <row r="20" spans="1:9">
      <c r="A20" t="s">
        <v>88</v>
      </c>
      <c r="B20" t="s">
        <v>89</v>
      </c>
      <c r="C20" t="s">
        <v>36</v>
      </c>
      <c r="D20" t="s">
        <v>51</v>
      </c>
      <c r="E20" s="1">
        <v>38551</v>
      </c>
      <c r="F20">
        <v>40</v>
      </c>
      <c r="G20" s="2">
        <v>28.1837716768448</v>
      </c>
      <c r="H20" s="2">
        <v>1127.35086707379</v>
      </c>
      <c r="I20" t="s">
        <v>15</v>
      </c>
    </row>
    <row r="21" spans="1:9">
      <c r="A21" t="s">
        <v>92</v>
      </c>
      <c r="B21" t="s">
        <v>93</v>
      </c>
      <c r="C21" t="s">
        <v>20</v>
      </c>
      <c r="D21" t="s">
        <v>21</v>
      </c>
      <c r="E21" s="1">
        <v>38202</v>
      </c>
      <c r="F21">
        <v>35.5</v>
      </c>
      <c r="G21" s="2">
        <v>23.5513467037949</v>
      </c>
      <c r="H21" s="2">
        <v>836.072807984721</v>
      </c>
      <c r="I21" t="s">
        <v>22</v>
      </c>
    </row>
    <row r="22" spans="1:9">
      <c r="A22" t="s">
        <v>96</v>
      </c>
      <c r="B22" t="s">
        <v>97</v>
      </c>
      <c r="C22" t="s">
        <v>20</v>
      </c>
      <c r="D22" t="s">
        <v>21</v>
      </c>
      <c r="E22" s="1">
        <v>39385</v>
      </c>
      <c r="F22">
        <v>38</v>
      </c>
      <c r="G22" s="2">
        <v>21.527759251738</v>
      </c>
      <c r="H22" s="2">
        <v>818.054851566046</v>
      </c>
      <c r="I22" t="s">
        <v>22</v>
      </c>
    </row>
    <row r="23" spans="1:9">
      <c r="A23" t="s">
        <v>100</v>
      </c>
      <c r="B23" t="s">
        <v>101</v>
      </c>
      <c r="C23" t="s">
        <v>20</v>
      </c>
      <c r="D23" t="s">
        <v>21</v>
      </c>
      <c r="E23" s="1">
        <v>37877</v>
      </c>
      <c r="F23">
        <v>40</v>
      </c>
      <c r="G23" s="2">
        <v>29.435165359699</v>
      </c>
      <c r="H23" s="2">
        <v>1177.40661438796</v>
      </c>
      <c r="I23" t="s">
        <v>15</v>
      </c>
    </row>
    <row r="24" spans="1:9">
      <c r="A24" t="s">
        <v>104</v>
      </c>
      <c r="B24" t="s">
        <v>105</v>
      </c>
      <c r="C24" t="s">
        <v>20</v>
      </c>
      <c r="D24" t="s">
        <v>21</v>
      </c>
      <c r="E24" s="1">
        <v>37779</v>
      </c>
      <c r="F24">
        <v>40</v>
      </c>
      <c r="G24" s="2">
        <v>28.5585427782549</v>
      </c>
      <c r="H24" s="2">
        <v>1142.3417111302</v>
      </c>
      <c r="I24" t="s">
        <v>15</v>
      </c>
    </row>
    <row r="25" spans="1:9">
      <c r="A25" t="s">
        <v>108</v>
      </c>
      <c r="B25" t="s">
        <v>109</v>
      </c>
      <c r="C25" t="s">
        <v>13</v>
      </c>
      <c r="D25" t="s">
        <v>21</v>
      </c>
      <c r="E25" s="1">
        <v>40611</v>
      </c>
      <c r="F25">
        <v>35</v>
      </c>
      <c r="G25" s="2">
        <v>21.3408234410477</v>
      </c>
      <c r="H25" s="2">
        <v>746.928820436669</v>
      </c>
      <c r="I25" t="s">
        <v>22</v>
      </c>
    </row>
    <row r="26" spans="1:9">
      <c r="A26" t="s">
        <v>112</v>
      </c>
      <c r="B26" t="s">
        <v>113</v>
      </c>
      <c r="C26" t="s">
        <v>13</v>
      </c>
      <c r="D26" t="s">
        <v>21</v>
      </c>
      <c r="E26" s="1">
        <v>38808</v>
      </c>
      <c r="F26">
        <v>25</v>
      </c>
      <c r="G26" s="2">
        <v>26.7983252095194</v>
      </c>
      <c r="H26" s="2">
        <v>669.958130237985</v>
      </c>
      <c r="I26" t="s">
        <v>22</v>
      </c>
    </row>
    <row r="27" spans="1:9">
      <c r="A27" t="s">
        <v>116</v>
      </c>
      <c r="B27" t="s">
        <v>117</v>
      </c>
      <c r="C27" t="s">
        <v>20</v>
      </c>
      <c r="D27" t="s">
        <v>21</v>
      </c>
      <c r="E27" s="1">
        <v>39807</v>
      </c>
      <c r="F27">
        <v>32</v>
      </c>
      <c r="G27" s="2">
        <v>29.9348706756959</v>
      </c>
      <c r="H27" s="2">
        <v>957.915861622268</v>
      </c>
      <c r="I27" t="s">
        <v>22</v>
      </c>
    </row>
    <row r="28" spans="1:9">
      <c r="A28" t="s">
        <v>120</v>
      </c>
      <c r="B28" t="s">
        <v>121</v>
      </c>
      <c r="C28" t="s">
        <v>20</v>
      </c>
      <c r="D28" t="s">
        <v>51</v>
      </c>
      <c r="E28" s="1">
        <v>39233</v>
      </c>
      <c r="F28">
        <v>35</v>
      </c>
      <c r="G28" s="2">
        <v>22.5344105761657</v>
      </c>
      <c r="H28" s="2">
        <v>788.704370165799</v>
      </c>
      <c r="I28" t="s">
        <v>22</v>
      </c>
    </row>
    <row r="29" spans="1:9">
      <c r="A29" t="s">
        <v>124</v>
      </c>
      <c r="B29" t="s">
        <v>125</v>
      </c>
      <c r="C29" t="s">
        <v>20</v>
      </c>
      <c r="D29" t="s">
        <v>59</v>
      </c>
      <c r="E29" s="1">
        <v>40155</v>
      </c>
      <c r="F29">
        <v>25</v>
      </c>
      <c r="G29" s="2">
        <v>22.0288511044065</v>
      </c>
      <c r="H29" s="2">
        <v>550.721277610162</v>
      </c>
      <c r="I29" t="s">
        <v>22</v>
      </c>
    </row>
    <row r="30" spans="1:9">
      <c r="A30" t="s">
        <v>128</v>
      </c>
      <c r="B30" t="s">
        <v>129</v>
      </c>
      <c r="C30" t="s">
        <v>20</v>
      </c>
      <c r="D30" t="s">
        <v>51</v>
      </c>
      <c r="E30" s="1">
        <v>38263</v>
      </c>
      <c r="F30">
        <v>40</v>
      </c>
      <c r="G30" s="2">
        <v>22.224435083452</v>
      </c>
      <c r="H30" s="2">
        <v>888.977403338081</v>
      </c>
      <c r="I30" t="s">
        <v>15</v>
      </c>
    </row>
    <row r="31" spans="1:9">
      <c r="A31" t="s">
        <v>132</v>
      </c>
      <c r="B31" t="s">
        <v>133</v>
      </c>
      <c r="C31" t="s">
        <v>27</v>
      </c>
      <c r="D31" t="s">
        <v>14</v>
      </c>
      <c r="E31" s="1">
        <v>39414</v>
      </c>
      <c r="F31">
        <v>35.5</v>
      </c>
      <c r="G31" s="2">
        <v>24.0440594640406</v>
      </c>
      <c r="H31" s="2">
        <v>853.56411097344</v>
      </c>
      <c r="I31" t="s">
        <v>22</v>
      </c>
    </row>
    <row r="32" spans="1:9">
      <c r="A32" t="s">
        <v>136</v>
      </c>
      <c r="B32" t="s">
        <v>137</v>
      </c>
      <c r="C32" t="s">
        <v>27</v>
      </c>
      <c r="D32" t="s">
        <v>21</v>
      </c>
      <c r="E32" s="1">
        <v>39831</v>
      </c>
      <c r="F32">
        <v>29.5</v>
      </c>
      <c r="G32" s="2">
        <v>27.9270088695213</v>
      </c>
      <c r="H32" s="2">
        <v>823.846761650878</v>
      </c>
      <c r="I32" t="s">
        <v>22</v>
      </c>
    </row>
    <row r="33" spans="1:9">
      <c r="A33" t="s">
        <v>140</v>
      </c>
      <c r="B33" t="s">
        <v>141</v>
      </c>
      <c r="C33" t="s">
        <v>13</v>
      </c>
      <c r="D33" t="s">
        <v>59</v>
      </c>
      <c r="E33" s="1">
        <v>38474</v>
      </c>
      <c r="F33">
        <v>40</v>
      </c>
      <c r="G33" s="2">
        <v>25.3218774491568</v>
      </c>
      <c r="H33" s="2">
        <v>1012.87509796627</v>
      </c>
      <c r="I33" t="s">
        <v>15</v>
      </c>
    </row>
    <row r="34" spans="1:9">
      <c r="A34" t="s">
        <v>144</v>
      </c>
      <c r="B34" t="s">
        <v>145</v>
      </c>
      <c r="C34" t="s">
        <v>13</v>
      </c>
      <c r="D34" t="s">
        <v>59</v>
      </c>
      <c r="E34" s="1">
        <v>40205</v>
      </c>
      <c r="F34">
        <v>35.5</v>
      </c>
      <c r="G34" s="2">
        <v>22.0416278412084</v>
      </c>
      <c r="H34" s="2">
        <v>782.477788362898</v>
      </c>
      <c r="I34" t="s">
        <v>22</v>
      </c>
    </row>
    <row r="35" spans="1:9">
      <c r="A35" t="s">
        <v>148</v>
      </c>
      <c r="B35" t="s">
        <v>149</v>
      </c>
      <c r="C35" t="s">
        <v>20</v>
      </c>
      <c r="D35" t="s">
        <v>59</v>
      </c>
      <c r="E35" s="1">
        <v>39053</v>
      </c>
      <c r="F35">
        <v>32</v>
      </c>
      <c r="G35" s="2">
        <v>20.9360592580624</v>
      </c>
      <c r="H35" s="2">
        <v>669.953896257996</v>
      </c>
      <c r="I35" t="s">
        <v>22</v>
      </c>
    </row>
    <row r="36" spans="1:9">
      <c r="A36" t="s">
        <v>152</v>
      </c>
      <c r="B36" t="s">
        <v>153</v>
      </c>
      <c r="C36" t="s">
        <v>27</v>
      </c>
      <c r="D36" t="s">
        <v>14</v>
      </c>
      <c r="E36" s="1">
        <v>38914</v>
      </c>
      <c r="F36">
        <v>35.5</v>
      </c>
      <c r="G36" s="2">
        <v>23.7804724680972</v>
      </c>
      <c r="H36" s="2">
        <v>844.206772617451</v>
      </c>
      <c r="I36" t="s">
        <v>22</v>
      </c>
    </row>
    <row r="37" spans="1:9">
      <c r="A37" t="s">
        <v>156</v>
      </c>
      <c r="B37" t="s">
        <v>157</v>
      </c>
      <c r="C37" t="s">
        <v>20</v>
      </c>
      <c r="D37" t="s">
        <v>59</v>
      </c>
      <c r="E37" s="1">
        <v>38727</v>
      </c>
      <c r="F37">
        <v>35</v>
      </c>
      <c r="G37" s="2">
        <v>26.870973454107</v>
      </c>
      <c r="H37" s="2">
        <v>940.484070893745</v>
      </c>
      <c r="I37" t="s">
        <v>22</v>
      </c>
    </row>
    <row r="38" spans="1:9">
      <c r="A38" t="s">
        <v>160</v>
      </c>
      <c r="B38" t="s">
        <v>161</v>
      </c>
      <c r="C38" t="s">
        <v>27</v>
      </c>
      <c r="D38" t="s">
        <v>14</v>
      </c>
      <c r="E38" s="1">
        <v>38659</v>
      </c>
      <c r="F38">
        <v>40</v>
      </c>
      <c r="G38" s="2">
        <v>28.0351807192208</v>
      </c>
      <c r="H38" s="2">
        <v>1121.40722876883</v>
      </c>
      <c r="I38" t="s">
        <v>15</v>
      </c>
    </row>
    <row r="39" spans="1:9">
      <c r="A39" t="s">
        <v>164</v>
      </c>
      <c r="B39" t="s">
        <v>165</v>
      </c>
      <c r="C39" t="s">
        <v>20</v>
      </c>
      <c r="D39" t="s">
        <v>51</v>
      </c>
      <c r="E39" s="1">
        <v>39430</v>
      </c>
      <c r="F39">
        <v>40</v>
      </c>
      <c r="G39" s="2">
        <v>22.0025822256507</v>
      </c>
      <c r="H39" s="2">
        <v>880.10328902603</v>
      </c>
      <c r="I39" t="s">
        <v>15</v>
      </c>
    </row>
    <row r="40" spans="1:9">
      <c r="A40" t="s">
        <v>168</v>
      </c>
      <c r="B40" t="s">
        <v>169</v>
      </c>
      <c r="C40" t="s">
        <v>20</v>
      </c>
      <c r="D40" t="s">
        <v>14</v>
      </c>
      <c r="E40" s="1">
        <v>38026</v>
      </c>
      <c r="F40">
        <v>40</v>
      </c>
      <c r="G40" s="2">
        <v>24.209926541516</v>
      </c>
      <c r="H40" s="2">
        <v>968.397061660642</v>
      </c>
      <c r="I40" t="s">
        <v>15</v>
      </c>
    </row>
    <row r="41" spans="1:9">
      <c r="A41" t="s">
        <v>172</v>
      </c>
      <c r="B41" t="s">
        <v>173</v>
      </c>
      <c r="C41" t="s">
        <v>20</v>
      </c>
      <c r="D41" t="s">
        <v>51</v>
      </c>
      <c r="E41" s="1">
        <v>39575</v>
      </c>
      <c r="F41">
        <v>40</v>
      </c>
      <c r="G41" s="2">
        <v>26.4166446930878</v>
      </c>
      <c r="H41" s="2">
        <v>1056.66578772351</v>
      </c>
      <c r="I41" t="s">
        <v>15</v>
      </c>
    </row>
    <row r="42" spans="1:9">
      <c r="A42" t="s">
        <v>176</v>
      </c>
      <c r="B42" t="s">
        <v>177</v>
      </c>
      <c r="C42" t="s">
        <v>27</v>
      </c>
      <c r="D42" t="s">
        <v>59</v>
      </c>
      <c r="E42" s="1">
        <v>38989</v>
      </c>
      <c r="F42">
        <v>40</v>
      </c>
      <c r="G42" s="2">
        <v>26.1563408101695</v>
      </c>
      <c r="H42" s="2">
        <v>1046.25363240678</v>
      </c>
      <c r="I42" t="s">
        <v>15</v>
      </c>
    </row>
    <row r="43" spans="1:9">
      <c r="A43" t="s">
        <v>180</v>
      </c>
      <c r="B43" t="s">
        <v>181</v>
      </c>
      <c r="C43" t="s">
        <v>27</v>
      </c>
      <c r="D43" t="s">
        <v>59</v>
      </c>
      <c r="E43" s="1">
        <v>40127</v>
      </c>
      <c r="F43">
        <v>40</v>
      </c>
      <c r="G43" s="2">
        <v>28.8001607672559</v>
      </c>
      <c r="H43" s="2">
        <v>1152.00643069023</v>
      </c>
      <c r="I43" t="s">
        <v>15</v>
      </c>
    </row>
    <row r="44" spans="1:9">
      <c r="A44" t="s">
        <v>184</v>
      </c>
      <c r="B44" t="s">
        <v>185</v>
      </c>
      <c r="C44" t="s">
        <v>27</v>
      </c>
      <c r="D44" t="s">
        <v>14</v>
      </c>
      <c r="E44" s="1">
        <v>39070</v>
      </c>
      <c r="F44">
        <v>35.5</v>
      </c>
      <c r="G44" s="2">
        <v>24.7005037048751</v>
      </c>
      <c r="H44" s="2">
        <v>876.867881523066</v>
      </c>
      <c r="I44" t="s">
        <v>22</v>
      </c>
    </row>
    <row r="45" spans="1:9">
      <c r="A45" t="s">
        <v>187</v>
      </c>
      <c r="B45" t="s">
        <v>188</v>
      </c>
      <c r="C45" t="s">
        <v>36</v>
      </c>
      <c r="D45" t="s">
        <v>21</v>
      </c>
      <c r="E45" s="1">
        <v>39251</v>
      </c>
      <c r="F45">
        <v>40</v>
      </c>
      <c r="G45" s="2">
        <v>24.7208809045488</v>
      </c>
      <c r="H45" s="2">
        <v>988.835236181952</v>
      </c>
      <c r="I45" t="s">
        <v>15</v>
      </c>
    </row>
    <row r="46" spans="1:9">
      <c r="A46" t="s">
        <v>190</v>
      </c>
      <c r="B46" t="s">
        <v>191</v>
      </c>
      <c r="C46" t="s">
        <v>36</v>
      </c>
      <c r="D46" t="s">
        <v>14</v>
      </c>
      <c r="E46" s="1">
        <v>39925</v>
      </c>
      <c r="F46">
        <v>15.5</v>
      </c>
      <c r="G46" s="2">
        <v>22.0461359567629</v>
      </c>
      <c r="H46" s="2">
        <v>341.715107329824</v>
      </c>
      <c r="I46" t="s">
        <v>22</v>
      </c>
    </row>
    <row r="47" spans="1:9">
      <c r="A47" t="s">
        <v>193</v>
      </c>
      <c r="B47" t="s">
        <v>194</v>
      </c>
      <c r="C47" t="s">
        <v>20</v>
      </c>
      <c r="D47" t="s">
        <v>59</v>
      </c>
      <c r="E47" s="1">
        <v>39226</v>
      </c>
      <c r="F47">
        <v>25</v>
      </c>
      <c r="G47" s="2">
        <v>29.0167556854929</v>
      </c>
      <c r="H47" s="2">
        <v>725.418892137322</v>
      </c>
      <c r="I47" t="s">
        <v>22</v>
      </c>
    </row>
    <row r="48" spans="1:9">
      <c r="A48" t="s">
        <v>196</v>
      </c>
      <c r="B48" t="s">
        <v>197</v>
      </c>
      <c r="C48" t="s">
        <v>36</v>
      </c>
      <c r="D48" t="s">
        <v>14</v>
      </c>
      <c r="E48" s="1">
        <v>40561</v>
      </c>
      <c r="F48">
        <v>40</v>
      </c>
      <c r="G48" s="2">
        <v>27.3588677466791</v>
      </c>
      <c r="H48" s="2">
        <v>1094.35470986716</v>
      </c>
      <c r="I48" t="s">
        <v>15</v>
      </c>
    </row>
    <row r="49" spans="1:9">
      <c r="A49" t="s">
        <v>198</v>
      </c>
      <c r="B49" t="s">
        <v>199</v>
      </c>
      <c r="C49" t="s">
        <v>36</v>
      </c>
      <c r="D49" t="s">
        <v>14</v>
      </c>
      <c r="E49" s="1">
        <v>38080</v>
      </c>
      <c r="F49">
        <v>40</v>
      </c>
      <c r="G49" s="2">
        <v>23.5591787626696</v>
      </c>
      <c r="H49" s="2">
        <v>942.367150506783</v>
      </c>
      <c r="I49" t="s">
        <v>15</v>
      </c>
    </row>
    <row r="50" spans="1:9">
      <c r="A50" t="s">
        <v>200</v>
      </c>
      <c r="B50" t="s">
        <v>201</v>
      </c>
      <c r="C50" t="s">
        <v>13</v>
      </c>
      <c r="D50" t="s">
        <v>59</v>
      </c>
      <c r="E50" s="1">
        <v>37784</v>
      </c>
      <c r="F50">
        <v>38</v>
      </c>
      <c r="G50" s="2">
        <v>25.8959240312466</v>
      </c>
      <c r="H50" s="2">
        <v>984.04511318737</v>
      </c>
      <c r="I50" t="s">
        <v>22</v>
      </c>
    </row>
    <row r="51" spans="1:9">
      <c r="A51" t="s">
        <v>202</v>
      </c>
      <c r="B51" t="s">
        <v>203</v>
      </c>
      <c r="C51" t="s">
        <v>20</v>
      </c>
      <c r="D51" t="s">
        <v>51</v>
      </c>
      <c r="E51" s="1">
        <v>40135</v>
      </c>
      <c r="F51">
        <v>40</v>
      </c>
      <c r="G51" s="2">
        <v>23.7440482448647</v>
      </c>
      <c r="H51" s="2">
        <v>949.761929794589</v>
      </c>
      <c r="I51" t="s">
        <v>15</v>
      </c>
    </row>
    <row r="52" spans="1:9">
      <c r="A52" t="s">
        <v>204</v>
      </c>
      <c r="B52" t="s">
        <v>205</v>
      </c>
      <c r="C52" t="s">
        <v>20</v>
      </c>
      <c r="D52" t="s">
        <v>59</v>
      </c>
      <c r="E52" s="1">
        <v>38851</v>
      </c>
      <c r="F52">
        <v>40</v>
      </c>
      <c r="G52" s="2">
        <v>22.1172203389426</v>
      </c>
      <c r="H52" s="2">
        <v>884.688813557704</v>
      </c>
      <c r="I52" t="s">
        <v>15</v>
      </c>
    </row>
    <row r="53" spans="1:9">
      <c r="A53" t="s">
        <v>206</v>
      </c>
      <c r="B53" t="s">
        <v>207</v>
      </c>
      <c r="C53" t="s">
        <v>20</v>
      </c>
      <c r="D53" t="s">
        <v>21</v>
      </c>
      <c r="E53" s="1">
        <v>38995</v>
      </c>
      <c r="F53">
        <v>40</v>
      </c>
      <c r="G53" s="2">
        <v>28.5041873925272</v>
      </c>
      <c r="H53" s="2">
        <v>1140.16749570109</v>
      </c>
      <c r="I53" t="s">
        <v>15</v>
      </c>
    </row>
    <row r="54" spans="1:9">
      <c r="A54" t="s">
        <v>208</v>
      </c>
      <c r="B54" t="s">
        <v>209</v>
      </c>
      <c r="C54" t="s">
        <v>27</v>
      </c>
      <c r="D54" t="s">
        <v>59</v>
      </c>
      <c r="E54" s="1">
        <v>37439</v>
      </c>
      <c r="F54">
        <v>40</v>
      </c>
      <c r="G54" s="2">
        <v>23.8861934229302</v>
      </c>
      <c r="H54" s="2">
        <v>955.447736917208</v>
      </c>
      <c r="I54" t="s">
        <v>15</v>
      </c>
    </row>
    <row r="55" spans="1:9">
      <c r="A55" t="s">
        <v>210</v>
      </c>
      <c r="B55" t="s">
        <v>211</v>
      </c>
      <c r="C55" t="s">
        <v>13</v>
      </c>
      <c r="D55" t="s">
        <v>51</v>
      </c>
      <c r="E55" s="1">
        <v>40601</v>
      </c>
      <c r="F55">
        <v>40</v>
      </c>
      <c r="G55" s="2">
        <v>24.4318025315317</v>
      </c>
      <c r="H55" s="2">
        <v>977.272101261268</v>
      </c>
      <c r="I55" t="s">
        <v>15</v>
      </c>
    </row>
    <row r="56" spans="1:9">
      <c r="A56" t="s">
        <v>212</v>
      </c>
      <c r="B56" t="s">
        <v>213</v>
      </c>
      <c r="C56" t="s">
        <v>27</v>
      </c>
      <c r="D56" t="s">
        <v>21</v>
      </c>
      <c r="E56" s="1">
        <v>36264</v>
      </c>
      <c r="F56">
        <v>40</v>
      </c>
      <c r="G56" s="2">
        <v>24.3651867901812</v>
      </c>
      <c r="H56" s="2">
        <v>974.607471607247</v>
      </c>
      <c r="I56" t="s">
        <v>15</v>
      </c>
    </row>
    <row r="57" spans="1:9">
      <c r="A57" t="s">
        <v>214</v>
      </c>
      <c r="B57" t="s">
        <v>215</v>
      </c>
      <c r="C57" t="s">
        <v>20</v>
      </c>
      <c r="D57" t="s">
        <v>14</v>
      </c>
      <c r="E57" s="1">
        <v>39238</v>
      </c>
      <c r="F57">
        <v>40</v>
      </c>
      <c r="G57" s="2">
        <v>26.7929940105714</v>
      </c>
      <c r="H57" s="2">
        <v>1071.71976042286</v>
      </c>
      <c r="I57" t="s">
        <v>15</v>
      </c>
    </row>
    <row r="58" spans="1:9">
      <c r="A58" t="s">
        <v>216</v>
      </c>
      <c r="B58" t="s">
        <v>217</v>
      </c>
      <c r="C58" t="s">
        <v>13</v>
      </c>
      <c r="D58" t="s">
        <v>59</v>
      </c>
      <c r="E58" s="1">
        <v>40754</v>
      </c>
      <c r="F58">
        <v>32</v>
      </c>
      <c r="G58" s="2">
        <v>26.9521621799409</v>
      </c>
      <c r="H58" s="2">
        <v>862.46918975811</v>
      </c>
      <c r="I58" t="s">
        <v>22</v>
      </c>
    </row>
    <row r="59" spans="1:9">
      <c r="A59" t="s">
        <v>218</v>
      </c>
      <c r="B59" t="s">
        <v>219</v>
      </c>
      <c r="C59" t="s">
        <v>36</v>
      </c>
      <c r="D59" t="s">
        <v>14</v>
      </c>
      <c r="E59" s="1">
        <v>39138</v>
      </c>
      <c r="F59">
        <v>15.5</v>
      </c>
      <c r="G59" s="2">
        <v>26.3802017837466</v>
      </c>
      <c r="H59" s="2">
        <v>408.893127648072</v>
      </c>
      <c r="I59" t="s">
        <v>22</v>
      </c>
    </row>
    <row r="60" spans="1:9">
      <c r="A60" t="s">
        <v>220</v>
      </c>
      <c r="B60" t="s">
        <v>221</v>
      </c>
      <c r="C60" t="s">
        <v>36</v>
      </c>
      <c r="D60" t="s">
        <v>14</v>
      </c>
      <c r="E60" s="1">
        <v>38217</v>
      </c>
      <c r="F60">
        <v>40</v>
      </c>
      <c r="G60" s="2">
        <v>29.4332293587101</v>
      </c>
      <c r="H60" s="2">
        <v>1177.32917434841</v>
      </c>
      <c r="I60" t="s">
        <v>15</v>
      </c>
    </row>
    <row r="61" spans="1:9">
      <c r="A61" t="s">
        <v>222</v>
      </c>
      <c r="B61" t="s">
        <v>223</v>
      </c>
      <c r="C61" t="s">
        <v>27</v>
      </c>
      <c r="D61" t="s">
        <v>21</v>
      </c>
      <c r="E61" s="1">
        <v>39378</v>
      </c>
      <c r="F61">
        <v>40</v>
      </c>
      <c r="G61" s="2">
        <v>22.9135978775507</v>
      </c>
      <c r="H61" s="2">
        <v>916.54391510203</v>
      </c>
      <c r="I61" t="s">
        <v>15</v>
      </c>
    </row>
    <row r="62" spans="1:9">
      <c r="A62" t="s">
        <v>224</v>
      </c>
      <c r="B62" t="s">
        <v>225</v>
      </c>
      <c r="C62" t="s">
        <v>27</v>
      </c>
      <c r="D62" t="s">
        <v>14</v>
      </c>
      <c r="E62" s="1">
        <v>41968</v>
      </c>
      <c r="F62">
        <v>40</v>
      </c>
      <c r="G62" s="2">
        <v>21.063510642513</v>
      </c>
      <c r="H62" s="2">
        <v>842.540425700521</v>
      </c>
      <c r="I62" t="s">
        <v>15</v>
      </c>
    </row>
    <row r="63" spans="1:9">
      <c r="A63" t="s">
        <v>226</v>
      </c>
      <c r="B63" t="s">
        <v>227</v>
      </c>
      <c r="C63" t="s">
        <v>20</v>
      </c>
      <c r="D63" t="s">
        <v>14</v>
      </c>
      <c r="E63" s="1">
        <v>40397</v>
      </c>
      <c r="F63">
        <v>35</v>
      </c>
      <c r="G63" s="2">
        <v>26.1930616475145</v>
      </c>
      <c r="H63" s="2">
        <v>916.757157663007</v>
      </c>
      <c r="I63" t="s">
        <v>22</v>
      </c>
    </row>
    <row r="64" spans="1:9">
      <c r="A64" t="s">
        <v>228</v>
      </c>
      <c r="B64" t="s">
        <v>229</v>
      </c>
      <c r="C64" t="s">
        <v>13</v>
      </c>
      <c r="D64" t="s">
        <v>14</v>
      </c>
      <c r="E64" s="1">
        <v>38068</v>
      </c>
      <c r="F64">
        <v>35.5</v>
      </c>
      <c r="G64" s="2">
        <v>26.441106244959</v>
      </c>
      <c r="H64" s="2">
        <v>938.659271696046</v>
      </c>
      <c r="I64" t="s">
        <v>22</v>
      </c>
    </row>
    <row r="65" spans="1:9">
      <c r="A65" t="s">
        <v>230</v>
      </c>
      <c r="B65" t="s">
        <v>231</v>
      </c>
      <c r="C65" t="s">
        <v>13</v>
      </c>
      <c r="D65" t="s">
        <v>51</v>
      </c>
      <c r="E65" s="1">
        <v>38211</v>
      </c>
      <c r="F65">
        <v>32</v>
      </c>
      <c r="G65" s="2">
        <v>20.8628676904625</v>
      </c>
      <c r="H65" s="2">
        <v>667.6117660948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236</v>
      </c>
      <c r="B68" t="s">
        <v>237</v>
      </c>
      <c r="C68" t="s">
        <v>27</v>
      </c>
      <c r="D68" t="s">
        <v>59</v>
      </c>
      <c r="E68" s="1">
        <v>39418</v>
      </c>
      <c r="F68">
        <v>29.5</v>
      </c>
      <c r="G68" s="2">
        <v>27.2459372602021</v>
      </c>
      <c r="H68" s="2">
        <v>803.755149175961</v>
      </c>
      <c r="I68" t="s">
        <v>22</v>
      </c>
    </row>
    <row r="69" spans="1:9">
      <c r="A69" t="s">
        <v>238</v>
      </c>
      <c r="B69" t="s">
        <v>239</v>
      </c>
      <c r="C69" t="s">
        <v>13</v>
      </c>
      <c r="D69" t="s">
        <v>21</v>
      </c>
      <c r="E69" s="1">
        <v>40268</v>
      </c>
      <c r="F69">
        <v>32</v>
      </c>
      <c r="G69" s="2">
        <v>24.7808249198699</v>
      </c>
      <c r="H69" s="2">
        <v>792.986397435835</v>
      </c>
      <c r="I69" t="s">
        <v>22</v>
      </c>
    </row>
    <row r="70" spans="1:9">
      <c r="A70" t="s">
        <v>240</v>
      </c>
      <c r="B70" t="s">
        <v>241</v>
      </c>
      <c r="C70" t="s">
        <v>36</v>
      </c>
      <c r="D70" t="s">
        <v>21</v>
      </c>
      <c r="E70" s="1">
        <v>39770</v>
      </c>
      <c r="F70">
        <v>35</v>
      </c>
      <c r="G70" s="2">
        <v>20.9514694627171</v>
      </c>
      <c r="H70" s="2">
        <v>733.301431195098</v>
      </c>
      <c r="I70" t="s">
        <v>22</v>
      </c>
    </row>
    <row r="71" spans="1:9">
      <c r="A71" t="s">
        <v>242</v>
      </c>
      <c r="B71" t="s">
        <v>243</v>
      </c>
      <c r="C71" t="s">
        <v>27</v>
      </c>
      <c r="D71" t="s">
        <v>51</v>
      </c>
      <c r="E71" s="1">
        <v>37263</v>
      </c>
      <c r="F71">
        <v>40</v>
      </c>
      <c r="G71" s="2">
        <v>24.2132465350738</v>
      </c>
      <c r="H71" s="2">
        <v>968.529861402952</v>
      </c>
      <c r="I71" t="s">
        <v>15</v>
      </c>
    </row>
    <row r="72" spans="1:9">
      <c r="A72" t="s">
        <v>244</v>
      </c>
      <c r="B72" t="s">
        <v>245</v>
      </c>
      <c r="C72" t="s">
        <v>36</v>
      </c>
      <c r="D72" t="s">
        <v>51</v>
      </c>
      <c r="E72" s="1">
        <v>38990</v>
      </c>
      <c r="F72">
        <v>40</v>
      </c>
      <c r="G72" s="2">
        <v>26.6733350813367</v>
      </c>
      <c r="H72" s="2">
        <v>1066.93340325347</v>
      </c>
      <c r="I72" t="s">
        <v>15</v>
      </c>
    </row>
    <row r="73" spans="1:9">
      <c r="A73" t="s">
        <v>246</v>
      </c>
      <c r="B73" t="s">
        <v>247</v>
      </c>
      <c r="C73" t="s">
        <v>36</v>
      </c>
      <c r="D73" t="s">
        <v>51</v>
      </c>
      <c r="E73" s="1">
        <v>38288</v>
      </c>
      <c r="F73">
        <v>40</v>
      </c>
      <c r="G73" s="2">
        <v>23.270898653239</v>
      </c>
      <c r="H73" s="2">
        <v>930.835946129561</v>
      </c>
      <c r="I73" t="s">
        <v>15</v>
      </c>
    </row>
    <row r="74" spans="1:9">
      <c r="A74" t="s">
        <v>248</v>
      </c>
      <c r="B74" t="s">
        <v>249</v>
      </c>
      <c r="C74" t="s">
        <v>27</v>
      </c>
      <c r="D74" t="s">
        <v>51</v>
      </c>
      <c r="E74" s="1">
        <v>39752</v>
      </c>
      <c r="F74">
        <v>40</v>
      </c>
      <c r="G74" s="2">
        <v>29.6126531698801</v>
      </c>
      <c r="H74" s="2">
        <v>1184.5061267952</v>
      </c>
      <c r="I74" t="s">
        <v>15</v>
      </c>
    </row>
    <row r="75" spans="1:9">
      <c r="A75" t="s">
        <v>250</v>
      </c>
      <c r="B75" t="s">
        <v>251</v>
      </c>
      <c r="C75" t="s">
        <v>20</v>
      </c>
      <c r="D75" t="s">
        <v>59</v>
      </c>
      <c r="E75" s="1">
        <v>38029</v>
      </c>
      <c r="F75">
        <v>25</v>
      </c>
      <c r="G75" s="2">
        <v>27.1249727517577</v>
      </c>
      <c r="H75" s="2">
        <v>678.124318793942</v>
      </c>
      <c r="I75" t="s">
        <v>22</v>
      </c>
    </row>
    <row r="76" spans="1:9">
      <c r="A76" t="s">
        <v>252</v>
      </c>
      <c r="B76" t="s">
        <v>253</v>
      </c>
      <c r="C76" t="s">
        <v>13</v>
      </c>
      <c r="D76" t="s">
        <v>51</v>
      </c>
      <c r="E76" s="1">
        <v>38990</v>
      </c>
      <c r="F76">
        <v>40</v>
      </c>
      <c r="G76" s="2">
        <v>20.55570522982</v>
      </c>
      <c r="H76" s="2">
        <v>822.2282091928</v>
      </c>
      <c r="I76" t="s">
        <v>15</v>
      </c>
    </row>
    <row r="77" spans="1:9">
      <c r="A77" t="s">
        <v>254</v>
      </c>
      <c r="B77" t="s">
        <v>255</v>
      </c>
      <c r="C77" t="s">
        <v>27</v>
      </c>
      <c r="D77" t="s">
        <v>51</v>
      </c>
      <c r="E77" s="1">
        <v>40139</v>
      </c>
      <c r="F77">
        <v>42</v>
      </c>
      <c r="G77" s="2">
        <v>23.7429467910733</v>
      </c>
      <c r="H77" s="2">
        <v>997.20376522508</v>
      </c>
      <c r="I77" t="s">
        <v>15</v>
      </c>
    </row>
    <row r="78" spans="1:9">
      <c r="A78" t="s">
        <v>256</v>
      </c>
      <c r="B78" t="s">
        <v>257</v>
      </c>
      <c r="C78" t="s">
        <v>13</v>
      </c>
      <c r="D78" t="s">
        <v>14</v>
      </c>
      <c r="E78" s="1">
        <v>39601</v>
      </c>
      <c r="F78">
        <v>25</v>
      </c>
      <c r="G78" s="2">
        <v>20.6563505176776</v>
      </c>
      <c r="H78" s="2">
        <v>516.40876294194</v>
      </c>
      <c r="I78" t="s">
        <v>22</v>
      </c>
    </row>
    <row r="79" spans="1:9">
      <c r="A79" t="s">
        <v>258</v>
      </c>
      <c r="B79" t="s">
        <v>259</v>
      </c>
      <c r="C79" t="s">
        <v>20</v>
      </c>
      <c r="D79" t="s">
        <v>21</v>
      </c>
      <c r="E79" s="1">
        <v>40035</v>
      </c>
      <c r="F79">
        <v>40</v>
      </c>
      <c r="G79" s="2">
        <v>24.7613808611318</v>
      </c>
      <c r="H79" s="2">
        <v>990.455234445274</v>
      </c>
      <c r="I79" t="s">
        <v>15</v>
      </c>
    </row>
    <row r="80" spans="1:9">
      <c r="A80" t="s">
        <v>260</v>
      </c>
      <c r="B80" t="s">
        <v>261</v>
      </c>
      <c r="C80" t="s">
        <v>27</v>
      </c>
      <c r="D80" t="s">
        <v>59</v>
      </c>
      <c r="E80" s="1">
        <v>40296</v>
      </c>
      <c r="F80">
        <v>42</v>
      </c>
      <c r="G80" s="2">
        <v>21.2089102328483</v>
      </c>
      <c r="H80" s="2">
        <v>890.774229779629</v>
      </c>
      <c r="I80" t="s">
        <v>15</v>
      </c>
    </row>
    <row r="81" spans="1:9">
      <c r="A81" t="s">
        <v>262</v>
      </c>
      <c r="B81" t="s">
        <v>263</v>
      </c>
      <c r="C81" t="s">
        <v>27</v>
      </c>
      <c r="D81" t="s">
        <v>14</v>
      </c>
      <c r="E81" s="1">
        <v>36953</v>
      </c>
      <c r="F81">
        <v>40</v>
      </c>
      <c r="G81" s="2">
        <v>29.6869323887969</v>
      </c>
      <c r="H81" s="2">
        <v>1187.47729555188</v>
      </c>
      <c r="I81" t="s">
        <v>15</v>
      </c>
    </row>
    <row r="82" spans="1:9">
      <c r="A82" t="s">
        <v>264</v>
      </c>
      <c r="B82" t="s">
        <v>265</v>
      </c>
      <c r="C82" t="s">
        <v>36</v>
      </c>
      <c r="D82" t="s">
        <v>14</v>
      </c>
      <c r="E82" s="1">
        <v>36948</v>
      </c>
      <c r="F82">
        <v>15.5</v>
      </c>
      <c r="G82" s="2">
        <v>27.0324725336245</v>
      </c>
      <c r="H82" s="2">
        <v>419.003324271179</v>
      </c>
      <c r="I82" t="s">
        <v>22</v>
      </c>
    </row>
    <row r="83" spans="1:9">
      <c r="A83" t="s">
        <v>266</v>
      </c>
      <c r="B83" t="s">
        <v>267</v>
      </c>
      <c r="C83" t="s">
        <v>27</v>
      </c>
      <c r="D83" t="s">
        <v>21</v>
      </c>
      <c r="E83" s="1">
        <v>40537</v>
      </c>
      <c r="F83">
        <v>40</v>
      </c>
      <c r="G83" s="2">
        <v>23.8393078808562</v>
      </c>
      <c r="H83" s="2">
        <v>953.572315234248</v>
      </c>
      <c r="I83" t="s">
        <v>15</v>
      </c>
    </row>
    <row r="84" spans="1:9">
      <c r="A84" t="s">
        <v>268</v>
      </c>
      <c r="B84" t="s">
        <v>269</v>
      </c>
      <c r="C84" t="s">
        <v>27</v>
      </c>
      <c r="D84" t="s">
        <v>21</v>
      </c>
      <c r="E84" s="1">
        <v>40692</v>
      </c>
      <c r="F84">
        <v>29.5</v>
      </c>
      <c r="G84" s="2">
        <v>26.1711140052097</v>
      </c>
      <c r="H84" s="2">
        <v>772.047863153687</v>
      </c>
      <c r="I84" t="s">
        <v>22</v>
      </c>
    </row>
    <row r="85" spans="1:9">
      <c r="A85" t="s">
        <v>270</v>
      </c>
      <c r="B85" t="s">
        <v>271</v>
      </c>
      <c r="C85" t="s">
        <v>27</v>
      </c>
      <c r="D85" t="s">
        <v>21</v>
      </c>
      <c r="E85" s="1">
        <v>38211</v>
      </c>
      <c r="F85">
        <v>29.5</v>
      </c>
      <c r="G85" s="2">
        <v>24.9382581014963</v>
      </c>
      <c r="H85" s="2">
        <v>735.67861399414</v>
      </c>
      <c r="I85" t="s">
        <v>22</v>
      </c>
    </row>
    <row r="86" spans="1:9">
      <c r="A86" t="s">
        <v>272</v>
      </c>
      <c r="B86" t="s">
        <v>273</v>
      </c>
      <c r="C86" t="s">
        <v>36</v>
      </c>
      <c r="D86" t="s">
        <v>21</v>
      </c>
      <c r="E86" s="1">
        <v>39435</v>
      </c>
      <c r="F86">
        <v>40</v>
      </c>
      <c r="G86" s="2">
        <v>21.9331419032506</v>
      </c>
      <c r="H86" s="2">
        <v>877.325676130023</v>
      </c>
      <c r="I86" t="s">
        <v>15</v>
      </c>
    </row>
    <row r="87" spans="1:9">
      <c r="A87" t="s">
        <v>274</v>
      </c>
      <c r="B87" t="s">
        <v>275</v>
      </c>
      <c r="C87" t="s">
        <v>36</v>
      </c>
      <c r="D87" t="s">
        <v>14</v>
      </c>
      <c r="E87" s="1">
        <v>40417</v>
      </c>
      <c r="F87">
        <v>15.5</v>
      </c>
      <c r="G87" s="2">
        <v>22.2269085765447</v>
      </c>
      <c r="H87" s="2">
        <v>344.517082936443</v>
      </c>
      <c r="I87" t="s">
        <v>22</v>
      </c>
    </row>
    <row r="88" spans="1:9">
      <c r="A88" t="s">
        <v>276</v>
      </c>
      <c r="B88" t="s">
        <v>277</v>
      </c>
      <c r="C88" t="s">
        <v>36</v>
      </c>
      <c r="D88" t="s">
        <v>21</v>
      </c>
      <c r="E88" s="1">
        <v>38880</v>
      </c>
      <c r="F88">
        <v>40</v>
      </c>
      <c r="G88" s="2">
        <v>28.5121956001453</v>
      </c>
      <c r="H88" s="2">
        <v>1140.48782400581</v>
      </c>
      <c r="I88" t="s">
        <v>15</v>
      </c>
    </row>
    <row r="89" spans="1:9">
      <c r="A89" t="s">
        <v>278</v>
      </c>
      <c r="B89" t="s">
        <v>279</v>
      </c>
      <c r="C89" t="s">
        <v>20</v>
      </c>
      <c r="D89" t="s">
        <v>59</v>
      </c>
      <c r="E89" s="1">
        <v>38084</v>
      </c>
      <c r="F89">
        <v>38</v>
      </c>
      <c r="G89" s="2">
        <v>26.1580386214767</v>
      </c>
      <c r="H89" s="2">
        <v>994.005467616114</v>
      </c>
      <c r="I89" t="s">
        <v>22</v>
      </c>
    </row>
    <row r="90" spans="1:9">
      <c r="A90" t="s">
        <v>280</v>
      </c>
      <c r="B90" t="s">
        <v>281</v>
      </c>
      <c r="C90" t="s">
        <v>20</v>
      </c>
      <c r="D90" t="s">
        <v>14</v>
      </c>
      <c r="E90" s="1">
        <v>37112</v>
      </c>
      <c r="F90">
        <v>38</v>
      </c>
      <c r="G90" s="2">
        <v>29.9674239695174</v>
      </c>
      <c r="H90" s="2">
        <v>1138.76211084166</v>
      </c>
      <c r="I90" t="s">
        <v>22</v>
      </c>
    </row>
    <row r="91" spans="1:9">
      <c r="A91" t="s">
        <v>282</v>
      </c>
      <c r="B91" t="s">
        <v>283</v>
      </c>
      <c r="C91" t="s">
        <v>27</v>
      </c>
      <c r="D91" t="s">
        <v>51</v>
      </c>
      <c r="E91" s="1">
        <v>37948</v>
      </c>
      <c r="F91">
        <v>40</v>
      </c>
      <c r="G91" s="2">
        <v>25.3452862696831</v>
      </c>
      <c r="H91" s="2">
        <v>1013.81145078732</v>
      </c>
      <c r="I91" t="s">
        <v>15</v>
      </c>
    </row>
    <row r="92" spans="1:9">
      <c r="A92" t="s">
        <v>284</v>
      </c>
      <c r="B92" t="s">
        <v>285</v>
      </c>
      <c r="C92" t="s">
        <v>36</v>
      </c>
      <c r="D92" t="s">
        <v>14</v>
      </c>
      <c r="E92" s="1">
        <v>39059</v>
      </c>
      <c r="F92">
        <v>40</v>
      </c>
      <c r="G92" s="2">
        <v>25.6019372294119</v>
      </c>
      <c r="H92" s="2">
        <v>1024.07748917648</v>
      </c>
      <c r="I92" t="s">
        <v>15</v>
      </c>
    </row>
    <row r="93" spans="1:9">
      <c r="A93" t="s">
        <v>286</v>
      </c>
      <c r="B93" t="s">
        <v>287</v>
      </c>
      <c r="C93" t="s">
        <v>20</v>
      </c>
      <c r="D93" t="s">
        <v>14</v>
      </c>
      <c r="E93" s="1">
        <v>38533</v>
      </c>
      <c r="F93">
        <v>35.5</v>
      </c>
      <c r="G93" s="2">
        <v>23.9214244689799</v>
      </c>
      <c r="H93" s="2">
        <v>849.210568648788</v>
      </c>
      <c r="I93" t="s">
        <v>22</v>
      </c>
    </row>
    <row r="94" spans="1:9">
      <c r="A94" t="s">
        <v>288</v>
      </c>
      <c r="B94" t="s">
        <v>289</v>
      </c>
      <c r="C94" t="s">
        <v>36</v>
      </c>
      <c r="D94" t="s">
        <v>59</v>
      </c>
      <c r="E94" s="1">
        <v>38744</v>
      </c>
      <c r="F94">
        <v>35</v>
      </c>
      <c r="G94" s="2">
        <v>20.3208991153415</v>
      </c>
      <c r="H94" s="2">
        <v>711.231469036951</v>
      </c>
      <c r="I94" t="s">
        <v>22</v>
      </c>
    </row>
    <row r="95" spans="1:9">
      <c r="A95" t="s">
        <v>290</v>
      </c>
      <c r="B95" t="s">
        <v>291</v>
      </c>
      <c r="C95" t="s">
        <v>20</v>
      </c>
      <c r="D95" t="s">
        <v>59</v>
      </c>
      <c r="E95" s="1">
        <v>40119</v>
      </c>
      <c r="F95">
        <v>35</v>
      </c>
      <c r="G95" s="2">
        <v>27.5256373926534</v>
      </c>
      <c r="H95" s="2">
        <v>963.397308742868</v>
      </c>
      <c r="I95" t="s">
        <v>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workbookViewId="0">
      <selection activeCell="A1" sqref="A1:I95"/>
    </sheetView>
  </sheetViews>
  <sheetFormatPr defaultColWidth="8.88888888888889" defaultRowHeight="14.4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</row>
    <row r="3" spans="1:9">
      <c r="A3" t="s">
        <v>18</v>
      </c>
      <c r="B3" t="s">
        <v>19</v>
      </c>
      <c r="C3" t="s">
        <v>20</v>
      </c>
      <c r="D3" t="s">
        <v>21</v>
      </c>
      <c r="E3" s="1">
        <v>40574</v>
      </c>
      <c r="F3">
        <v>35</v>
      </c>
      <c r="G3" s="2">
        <v>27.7308540634317</v>
      </c>
      <c r="H3" s="2">
        <v>970.57989222011</v>
      </c>
      <c r="I3" t="s">
        <v>22</v>
      </c>
    </row>
    <row r="4" spans="1:9">
      <c r="A4" t="s">
        <v>25</v>
      </c>
      <c r="B4" t="s">
        <v>26</v>
      </c>
      <c r="C4" t="s">
        <v>27</v>
      </c>
      <c r="D4" t="s">
        <v>14</v>
      </c>
      <c r="E4" s="1">
        <v>39089</v>
      </c>
      <c r="F4">
        <v>42</v>
      </c>
      <c r="G4" s="2">
        <v>23.2385457007659</v>
      </c>
      <c r="H4" s="2">
        <v>976.018919432168</v>
      </c>
      <c r="I4" t="s">
        <v>15</v>
      </c>
    </row>
    <row r="5" spans="1:9">
      <c r="A5" t="s">
        <v>30</v>
      </c>
      <c r="B5" t="s">
        <v>31</v>
      </c>
      <c r="C5" t="s">
        <v>20</v>
      </c>
      <c r="D5" t="s">
        <v>14</v>
      </c>
      <c r="E5" s="1">
        <v>40095</v>
      </c>
      <c r="F5">
        <v>40</v>
      </c>
      <c r="G5" s="2">
        <v>29.6040358356933</v>
      </c>
      <c r="H5" s="2">
        <v>1184.16143342773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14</v>
      </c>
      <c r="E6" s="1">
        <v>38863</v>
      </c>
      <c r="F6">
        <v>40</v>
      </c>
      <c r="G6" s="2">
        <v>20.2945957445476</v>
      </c>
      <c r="H6" s="2">
        <v>811.783829781904</v>
      </c>
      <c r="I6" t="s">
        <v>15</v>
      </c>
    </row>
    <row r="7" spans="1:9">
      <c r="A7" t="s">
        <v>38</v>
      </c>
      <c r="B7" t="s">
        <v>39</v>
      </c>
      <c r="C7" t="s">
        <v>27</v>
      </c>
      <c r="D7" t="s">
        <v>21</v>
      </c>
      <c r="E7" s="1">
        <v>39329</v>
      </c>
      <c r="F7">
        <v>29.5</v>
      </c>
      <c r="G7" s="2">
        <v>22.5040616496157</v>
      </c>
      <c r="H7" s="2">
        <v>663.869818663664</v>
      </c>
      <c r="I7" t="s">
        <v>22</v>
      </c>
    </row>
    <row r="8" spans="1:9">
      <c r="A8" t="s">
        <v>42</v>
      </c>
      <c r="B8" t="s">
        <v>43</v>
      </c>
      <c r="C8" t="s">
        <v>27</v>
      </c>
      <c r="D8" t="s">
        <v>14</v>
      </c>
      <c r="E8" s="1">
        <v>38372</v>
      </c>
      <c r="F8">
        <v>35.5</v>
      </c>
      <c r="G8" s="2">
        <v>23.7146915473977</v>
      </c>
      <c r="H8" s="2">
        <v>841.87154993262</v>
      </c>
      <c r="I8" t="s">
        <v>22</v>
      </c>
    </row>
    <row r="9" spans="1:9">
      <c r="A9" t="s">
        <v>46</v>
      </c>
      <c r="B9" t="s">
        <v>47</v>
      </c>
      <c r="C9" t="s">
        <v>27</v>
      </c>
      <c r="D9" t="s">
        <v>21</v>
      </c>
      <c r="E9" s="1">
        <v>37721</v>
      </c>
      <c r="F9">
        <v>40</v>
      </c>
      <c r="G9" s="2">
        <v>24.6342558337354</v>
      </c>
      <c r="H9" s="2">
        <v>985.370233349417</v>
      </c>
      <c r="I9" t="s">
        <v>15</v>
      </c>
    </row>
    <row r="10" spans="1:9">
      <c r="A10" t="s">
        <v>49</v>
      </c>
      <c r="B10" t="s">
        <v>50</v>
      </c>
      <c r="C10" t="s">
        <v>36</v>
      </c>
      <c r="D10" t="s">
        <v>51</v>
      </c>
      <c r="E10" s="1">
        <v>38014</v>
      </c>
      <c r="F10">
        <v>40</v>
      </c>
      <c r="G10" s="2">
        <v>24.0625161257531</v>
      </c>
      <c r="H10" s="2">
        <v>962.500645030123</v>
      </c>
      <c r="I10" t="s">
        <v>15</v>
      </c>
    </row>
    <row r="11" spans="1:9">
      <c r="A11" t="s">
        <v>54</v>
      </c>
      <c r="B11" t="s">
        <v>55</v>
      </c>
      <c r="C11" t="s">
        <v>27</v>
      </c>
      <c r="D11" t="s">
        <v>14</v>
      </c>
      <c r="E11" s="1">
        <v>39406</v>
      </c>
      <c r="F11">
        <v>35.5</v>
      </c>
      <c r="G11" s="2">
        <v>22.4745266505368</v>
      </c>
      <c r="H11" s="2">
        <v>797.845696094057</v>
      </c>
      <c r="I11" t="s">
        <v>22</v>
      </c>
    </row>
    <row r="12" spans="1:9">
      <c r="A12" t="s">
        <v>57</v>
      </c>
      <c r="B12" t="s">
        <v>58</v>
      </c>
      <c r="C12" t="s">
        <v>36</v>
      </c>
      <c r="D12" t="s">
        <v>59</v>
      </c>
      <c r="E12" s="1">
        <v>40636</v>
      </c>
      <c r="F12">
        <v>40</v>
      </c>
      <c r="G12" s="2">
        <v>26.2274469754406</v>
      </c>
      <c r="H12" s="2">
        <v>1049.09787901763</v>
      </c>
      <c r="I12" t="s">
        <v>15</v>
      </c>
    </row>
    <row r="13" spans="1:9">
      <c r="A13" t="s">
        <v>62</v>
      </c>
      <c r="B13" t="s">
        <v>63</v>
      </c>
      <c r="C13" t="s">
        <v>36</v>
      </c>
      <c r="D13" t="s">
        <v>59</v>
      </c>
      <c r="E13" s="1">
        <v>37299</v>
      </c>
      <c r="F13">
        <v>40</v>
      </c>
      <c r="G13" s="2">
        <v>20.4595521381667</v>
      </c>
      <c r="H13" s="2">
        <v>818.382085526669</v>
      </c>
      <c r="I13" t="s">
        <v>15</v>
      </c>
    </row>
    <row r="14" spans="1:9">
      <c r="A14" t="s">
        <v>65</v>
      </c>
      <c r="B14" t="s">
        <v>66</v>
      </c>
      <c r="C14" t="s">
        <v>36</v>
      </c>
      <c r="D14" t="s">
        <v>14</v>
      </c>
      <c r="E14" s="1">
        <v>39601</v>
      </c>
      <c r="F14">
        <v>40</v>
      </c>
      <c r="G14" s="2">
        <v>20.3846080101342</v>
      </c>
      <c r="H14" s="2">
        <v>815.384320405368</v>
      </c>
      <c r="I14" t="s">
        <v>15</v>
      </c>
    </row>
    <row r="15" spans="1:9">
      <c r="A15" t="s">
        <v>69</v>
      </c>
      <c r="B15" t="s">
        <v>70</v>
      </c>
      <c r="C15" t="s">
        <v>36</v>
      </c>
      <c r="D15" t="s">
        <v>59</v>
      </c>
      <c r="E15" s="1">
        <v>39051</v>
      </c>
      <c r="F15">
        <v>15.5</v>
      </c>
      <c r="G15" s="2">
        <v>23.8590814253866</v>
      </c>
      <c r="H15" s="2">
        <v>369.815762093492</v>
      </c>
      <c r="I15" t="s">
        <v>22</v>
      </c>
    </row>
    <row r="16" spans="1:9">
      <c r="A16" t="s">
        <v>72</v>
      </c>
      <c r="B16" t="s">
        <v>73</v>
      </c>
      <c r="C16" t="s">
        <v>13</v>
      </c>
      <c r="D16" t="s">
        <v>59</v>
      </c>
      <c r="E16" s="1">
        <v>39223</v>
      </c>
      <c r="F16">
        <v>38</v>
      </c>
      <c r="G16" s="2">
        <v>26.2234936764226</v>
      </c>
      <c r="H16" s="2">
        <v>996.49275970406</v>
      </c>
      <c r="I16" t="s">
        <v>22</v>
      </c>
    </row>
    <row r="17" spans="1:9">
      <c r="A17" t="s">
        <v>76</v>
      </c>
      <c r="B17" t="s">
        <v>77</v>
      </c>
      <c r="C17" t="s">
        <v>20</v>
      </c>
      <c r="D17" t="s">
        <v>59</v>
      </c>
      <c r="E17" s="1">
        <v>39259</v>
      </c>
      <c r="F17">
        <v>40</v>
      </c>
      <c r="G17" s="2">
        <v>24.122312108731</v>
      </c>
      <c r="H17" s="2">
        <v>964.89248434924</v>
      </c>
      <c r="I17" t="s">
        <v>15</v>
      </c>
    </row>
    <row r="18" spans="1:9">
      <c r="A18" t="s">
        <v>80</v>
      </c>
      <c r="B18" t="s">
        <v>81</v>
      </c>
      <c r="C18" t="s">
        <v>27</v>
      </c>
      <c r="D18" t="s">
        <v>14</v>
      </c>
      <c r="E18" s="1">
        <v>40108</v>
      </c>
      <c r="F18">
        <v>40</v>
      </c>
      <c r="G18" s="2">
        <v>27.4278911367849</v>
      </c>
      <c r="H18" s="2">
        <v>1097.11564547139</v>
      </c>
      <c r="I18" t="s">
        <v>15</v>
      </c>
    </row>
    <row r="19" spans="1:9">
      <c r="A19" t="s">
        <v>84</v>
      </c>
      <c r="B19" t="s">
        <v>85</v>
      </c>
      <c r="C19" t="s">
        <v>13</v>
      </c>
      <c r="D19" t="s">
        <v>14</v>
      </c>
      <c r="E19" s="1">
        <v>39865</v>
      </c>
      <c r="F19">
        <v>35</v>
      </c>
      <c r="G19" s="2">
        <v>24.9864365543203</v>
      </c>
      <c r="H19" s="2">
        <v>874.525279401211</v>
      </c>
      <c r="I19" t="s">
        <v>22</v>
      </c>
    </row>
    <row r="20" spans="1:9">
      <c r="A20" t="s">
        <v>88</v>
      </c>
      <c r="B20" t="s">
        <v>89</v>
      </c>
      <c r="C20" t="s">
        <v>36</v>
      </c>
      <c r="D20" t="s">
        <v>51</v>
      </c>
      <c r="E20" s="1">
        <v>38551</v>
      </c>
      <c r="F20">
        <v>40</v>
      </c>
      <c r="G20" s="2">
        <v>28.1837716768448</v>
      </c>
      <c r="H20" s="2">
        <v>1127.35086707379</v>
      </c>
      <c r="I20" t="s">
        <v>15</v>
      </c>
    </row>
    <row r="21" spans="1:9">
      <c r="A21" t="s">
        <v>92</v>
      </c>
      <c r="B21" t="s">
        <v>93</v>
      </c>
      <c r="C21" t="s">
        <v>20</v>
      </c>
      <c r="D21" t="s">
        <v>21</v>
      </c>
      <c r="E21" s="1">
        <v>38202</v>
      </c>
      <c r="F21">
        <v>35.5</v>
      </c>
      <c r="G21" s="2">
        <v>23.5513467037949</v>
      </c>
      <c r="H21" s="2">
        <v>836.072807984721</v>
      </c>
      <c r="I21" t="s">
        <v>22</v>
      </c>
    </row>
    <row r="22" spans="1:9">
      <c r="A22" t="s">
        <v>96</v>
      </c>
      <c r="B22" t="s">
        <v>97</v>
      </c>
      <c r="C22" t="s">
        <v>20</v>
      </c>
      <c r="D22" t="s">
        <v>21</v>
      </c>
      <c r="E22" s="1">
        <v>39385</v>
      </c>
      <c r="F22">
        <v>38</v>
      </c>
      <c r="G22" s="2">
        <v>21.527759251738</v>
      </c>
      <c r="H22" s="2">
        <v>818.054851566046</v>
      </c>
      <c r="I22" t="s">
        <v>22</v>
      </c>
    </row>
    <row r="23" spans="1:9">
      <c r="A23" t="s">
        <v>100</v>
      </c>
      <c r="B23" t="s">
        <v>101</v>
      </c>
      <c r="C23" t="s">
        <v>20</v>
      </c>
      <c r="D23" t="s">
        <v>21</v>
      </c>
      <c r="E23" s="1">
        <v>37877</v>
      </c>
      <c r="F23">
        <v>40</v>
      </c>
      <c r="G23" s="2">
        <v>29.435165359699</v>
      </c>
      <c r="H23" s="2">
        <v>1177.40661438796</v>
      </c>
      <c r="I23" t="s">
        <v>15</v>
      </c>
    </row>
    <row r="24" spans="1:9">
      <c r="A24" t="s">
        <v>104</v>
      </c>
      <c r="B24" t="s">
        <v>105</v>
      </c>
      <c r="C24" t="s">
        <v>20</v>
      </c>
      <c r="D24" t="s">
        <v>21</v>
      </c>
      <c r="E24" s="1">
        <v>37779</v>
      </c>
      <c r="F24">
        <v>40</v>
      </c>
      <c r="G24" s="2">
        <v>28.5585427782549</v>
      </c>
      <c r="H24" s="2">
        <v>1142.3417111302</v>
      </c>
      <c r="I24" t="s">
        <v>15</v>
      </c>
    </row>
    <row r="25" spans="1:9">
      <c r="A25" t="s">
        <v>108</v>
      </c>
      <c r="B25" t="s">
        <v>109</v>
      </c>
      <c r="C25" t="s">
        <v>13</v>
      </c>
      <c r="D25" t="s">
        <v>21</v>
      </c>
      <c r="E25" s="1">
        <v>40611</v>
      </c>
      <c r="F25">
        <v>35</v>
      </c>
      <c r="G25" s="2">
        <v>21.3408234410477</v>
      </c>
      <c r="H25" s="2">
        <v>746.928820436669</v>
      </c>
      <c r="I25" t="s">
        <v>22</v>
      </c>
    </row>
    <row r="26" spans="1:9">
      <c r="A26" t="s">
        <v>112</v>
      </c>
      <c r="B26" t="s">
        <v>113</v>
      </c>
      <c r="C26" t="s">
        <v>13</v>
      </c>
      <c r="D26" t="s">
        <v>21</v>
      </c>
      <c r="E26" s="1">
        <v>38808</v>
      </c>
      <c r="F26">
        <v>25</v>
      </c>
      <c r="G26" s="2">
        <v>26.7983252095194</v>
      </c>
      <c r="H26" s="2">
        <v>669.958130237985</v>
      </c>
      <c r="I26" t="s">
        <v>22</v>
      </c>
    </row>
    <row r="27" spans="1:9">
      <c r="A27" t="s">
        <v>116</v>
      </c>
      <c r="B27" t="s">
        <v>117</v>
      </c>
      <c r="C27" t="s">
        <v>20</v>
      </c>
      <c r="D27" t="s">
        <v>21</v>
      </c>
      <c r="E27" s="1">
        <v>39807</v>
      </c>
      <c r="F27">
        <v>32</v>
      </c>
      <c r="G27" s="2">
        <v>29.9348706756959</v>
      </c>
      <c r="H27" s="2">
        <v>957.915861622268</v>
      </c>
      <c r="I27" t="s">
        <v>22</v>
      </c>
    </row>
    <row r="28" spans="1:9">
      <c r="A28" t="s">
        <v>120</v>
      </c>
      <c r="B28" t="s">
        <v>121</v>
      </c>
      <c r="C28" t="s">
        <v>20</v>
      </c>
      <c r="D28" t="s">
        <v>51</v>
      </c>
      <c r="E28" s="1">
        <v>39233</v>
      </c>
      <c r="F28">
        <v>35</v>
      </c>
      <c r="G28" s="2">
        <v>22.5344105761657</v>
      </c>
      <c r="H28" s="2">
        <v>788.704370165799</v>
      </c>
      <c r="I28" t="s">
        <v>22</v>
      </c>
    </row>
    <row r="29" spans="1:9">
      <c r="A29" t="s">
        <v>124</v>
      </c>
      <c r="B29" t="s">
        <v>125</v>
      </c>
      <c r="C29" t="s">
        <v>20</v>
      </c>
      <c r="D29" t="s">
        <v>59</v>
      </c>
      <c r="E29" s="1">
        <v>40155</v>
      </c>
      <c r="F29">
        <v>25</v>
      </c>
      <c r="G29" s="2">
        <v>22.0288511044065</v>
      </c>
      <c r="H29" s="2">
        <v>550.721277610162</v>
      </c>
      <c r="I29" t="s">
        <v>22</v>
      </c>
    </row>
    <row r="30" spans="1:9">
      <c r="A30" t="s">
        <v>128</v>
      </c>
      <c r="B30" t="s">
        <v>129</v>
      </c>
      <c r="C30" t="s">
        <v>20</v>
      </c>
      <c r="D30" t="s">
        <v>51</v>
      </c>
      <c r="E30" s="1">
        <v>38263</v>
      </c>
      <c r="F30">
        <v>40</v>
      </c>
      <c r="G30" s="2">
        <v>22.224435083452</v>
      </c>
      <c r="H30" s="2">
        <v>888.977403338081</v>
      </c>
      <c r="I30" t="s">
        <v>15</v>
      </c>
    </row>
    <row r="31" spans="1:9">
      <c r="A31" t="s">
        <v>132</v>
      </c>
      <c r="B31" t="s">
        <v>133</v>
      </c>
      <c r="C31" t="s">
        <v>27</v>
      </c>
      <c r="D31" t="s">
        <v>14</v>
      </c>
      <c r="E31" s="1">
        <v>39414</v>
      </c>
      <c r="F31">
        <v>35.5</v>
      </c>
      <c r="G31" s="2">
        <v>24.0440594640406</v>
      </c>
      <c r="H31" s="2">
        <v>853.56411097344</v>
      </c>
      <c r="I31" t="s">
        <v>22</v>
      </c>
    </row>
    <row r="32" spans="1:9">
      <c r="A32" t="s">
        <v>136</v>
      </c>
      <c r="B32" t="s">
        <v>137</v>
      </c>
      <c r="C32" t="s">
        <v>27</v>
      </c>
      <c r="D32" t="s">
        <v>21</v>
      </c>
      <c r="E32" s="1">
        <v>39831</v>
      </c>
      <c r="F32">
        <v>29.5</v>
      </c>
      <c r="G32" s="2">
        <v>27.9270088695213</v>
      </c>
      <c r="H32" s="2">
        <v>823.846761650878</v>
      </c>
      <c r="I32" t="s">
        <v>22</v>
      </c>
    </row>
    <row r="33" spans="1:9">
      <c r="A33" t="s">
        <v>140</v>
      </c>
      <c r="B33" t="s">
        <v>141</v>
      </c>
      <c r="C33" t="s">
        <v>13</v>
      </c>
      <c r="D33" t="s">
        <v>59</v>
      </c>
      <c r="E33" s="1">
        <v>38474</v>
      </c>
      <c r="F33">
        <v>40</v>
      </c>
      <c r="G33" s="2">
        <v>25.3218774491568</v>
      </c>
      <c r="H33" s="2">
        <v>1012.87509796627</v>
      </c>
      <c r="I33" t="s">
        <v>15</v>
      </c>
    </row>
    <row r="34" spans="1:9">
      <c r="A34" t="s">
        <v>144</v>
      </c>
      <c r="B34" t="s">
        <v>145</v>
      </c>
      <c r="C34" t="s">
        <v>13</v>
      </c>
      <c r="D34" t="s">
        <v>59</v>
      </c>
      <c r="E34" s="1">
        <v>40205</v>
      </c>
      <c r="F34">
        <v>35.5</v>
      </c>
      <c r="G34" s="2">
        <v>22.0416278412084</v>
      </c>
      <c r="H34" s="2">
        <v>782.477788362898</v>
      </c>
      <c r="I34" t="s">
        <v>22</v>
      </c>
    </row>
    <row r="35" spans="1:9">
      <c r="A35" t="s">
        <v>148</v>
      </c>
      <c r="B35" t="s">
        <v>149</v>
      </c>
      <c r="C35" t="s">
        <v>20</v>
      </c>
      <c r="D35" t="s">
        <v>59</v>
      </c>
      <c r="E35" s="1">
        <v>39053</v>
      </c>
      <c r="F35">
        <v>32</v>
      </c>
      <c r="G35" s="2">
        <v>20.9360592580624</v>
      </c>
      <c r="H35" s="2">
        <v>669.953896257996</v>
      </c>
      <c r="I35" t="s">
        <v>22</v>
      </c>
    </row>
    <row r="36" spans="1:9">
      <c r="A36" t="s">
        <v>152</v>
      </c>
      <c r="B36" t="s">
        <v>153</v>
      </c>
      <c r="C36" t="s">
        <v>27</v>
      </c>
      <c r="D36" t="s">
        <v>14</v>
      </c>
      <c r="E36" s="1">
        <v>38914</v>
      </c>
      <c r="F36">
        <v>35.5</v>
      </c>
      <c r="G36" s="2">
        <v>23.7804724680972</v>
      </c>
      <c r="H36" s="2">
        <v>844.206772617451</v>
      </c>
      <c r="I36" t="s">
        <v>22</v>
      </c>
    </row>
    <row r="37" spans="1:9">
      <c r="A37" t="s">
        <v>156</v>
      </c>
      <c r="B37" t="s">
        <v>157</v>
      </c>
      <c r="C37" t="s">
        <v>20</v>
      </c>
      <c r="D37" t="s">
        <v>59</v>
      </c>
      <c r="E37" s="1">
        <v>38727</v>
      </c>
      <c r="F37">
        <v>35</v>
      </c>
      <c r="G37" s="2">
        <v>26.870973454107</v>
      </c>
      <c r="H37" s="2">
        <v>940.484070893745</v>
      </c>
      <c r="I37" t="s">
        <v>22</v>
      </c>
    </row>
    <row r="38" spans="1:9">
      <c r="A38" t="s">
        <v>160</v>
      </c>
      <c r="B38" t="s">
        <v>161</v>
      </c>
      <c r="C38" t="s">
        <v>27</v>
      </c>
      <c r="D38" t="s">
        <v>14</v>
      </c>
      <c r="E38" s="1">
        <v>38659</v>
      </c>
      <c r="F38">
        <v>40</v>
      </c>
      <c r="G38" s="2">
        <v>28.0351807192208</v>
      </c>
      <c r="H38" s="2">
        <v>1121.40722876883</v>
      </c>
      <c r="I38" t="s">
        <v>15</v>
      </c>
    </row>
    <row r="39" spans="1:9">
      <c r="A39" t="s">
        <v>164</v>
      </c>
      <c r="B39" t="s">
        <v>165</v>
      </c>
      <c r="C39" t="s">
        <v>20</v>
      </c>
      <c r="D39" t="s">
        <v>51</v>
      </c>
      <c r="E39" s="1">
        <v>39430</v>
      </c>
      <c r="F39">
        <v>40</v>
      </c>
      <c r="G39" s="2">
        <v>22.0025822256507</v>
      </c>
      <c r="H39" s="2">
        <v>880.10328902603</v>
      </c>
      <c r="I39" t="s">
        <v>15</v>
      </c>
    </row>
    <row r="40" spans="1:9">
      <c r="A40" t="s">
        <v>168</v>
      </c>
      <c r="B40" t="s">
        <v>169</v>
      </c>
      <c r="C40" t="s">
        <v>20</v>
      </c>
      <c r="D40" t="s">
        <v>14</v>
      </c>
      <c r="E40" s="1">
        <v>38026</v>
      </c>
      <c r="F40">
        <v>40</v>
      </c>
      <c r="G40" s="2">
        <v>24.209926541516</v>
      </c>
      <c r="H40" s="2">
        <v>968.397061660642</v>
      </c>
      <c r="I40" t="s">
        <v>15</v>
      </c>
    </row>
    <row r="41" spans="1:9">
      <c r="A41" t="s">
        <v>172</v>
      </c>
      <c r="B41" t="s">
        <v>173</v>
      </c>
      <c r="C41" t="s">
        <v>20</v>
      </c>
      <c r="D41" t="s">
        <v>51</v>
      </c>
      <c r="E41" s="1">
        <v>39575</v>
      </c>
      <c r="F41">
        <v>40</v>
      </c>
      <c r="G41" s="2">
        <v>26.4166446930878</v>
      </c>
      <c r="H41" s="2">
        <v>1056.66578772351</v>
      </c>
      <c r="I41" t="s">
        <v>15</v>
      </c>
    </row>
    <row r="42" spans="1:9">
      <c r="A42" t="s">
        <v>176</v>
      </c>
      <c r="B42" t="s">
        <v>177</v>
      </c>
      <c r="C42" t="s">
        <v>27</v>
      </c>
      <c r="D42" t="s">
        <v>59</v>
      </c>
      <c r="E42" s="1">
        <v>38989</v>
      </c>
      <c r="F42">
        <v>40</v>
      </c>
      <c r="G42" s="2">
        <v>26.1563408101695</v>
      </c>
      <c r="H42" s="2">
        <v>1046.25363240678</v>
      </c>
      <c r="I42" t="s">
        <v>15</v>
      </c>
    </row>
    <row r="43" spans="1:9">
      <c r="A43" t="s">
        <v>180</v>
      </c>
      <c r="B43" t="s">
        <v>181</v>
      </c>
      <c r="C43" t="s">
        <v>27</v>
      </c>
      <c r="D43" t="s">
        <v>59</v>
      </c>
      <c r="E43" s="1">
        <v>40127</v>
      </c>
      <c r="F43">
        <v>40</v>
      </c>
      <c r="G43" s="2">
        <v>28.8001607672559</v>
      </c>
      <c r="H43" s="2">
        <v>1152.00643069023</v>
      </c>
      <c r="I43" t="s">
        <v>15</v>
      </c>
    </row>
    <row r="44" spans="1:9">
      <c r="A44" t="s">
        <v>184</v>
      </c>
      <c r="B44" t="s">
        <v>185</v>
      </c>
      <c r="C44" t="s">
        <v>27</v>
      </c>
      <c r="D44" t="s">
        <v>14</v>
      </c>
      <c r="E44" s="1">
        <v>39070</v>
      </c>
      <c r="F44">
        <v>35.5</v>
      </c>
      <c r="G44" s="2">
        <v>24.7005037048751</v>
      </c>
      <c r="H44" s="2">
        <v>876.867881523066</v>
      </c>
      <c r="I44" t="s">
        <v>22</v>
      </c>
    </row>
    <row r="45" spans="1:9">
      <c r="A45" t="s">
        <v>187</v>
      </c>
      <c r="B45" t="s">
        <v>188</v>
      </c>
      <c r="C45" t="s">
        <v>36</v>
      </c>
      <c r="D45" t="s">
        <v>21</v>
      </c>
      <c r="E45" s="1">
        <v>39251</v>
      </c>
      <c r="F45">
        <v>40</v>
      </c>
      <c r="G45" s="2">
        <v>24.7208809045488</v>
      </c>
      <c r="H45" s="2">
        <v>988.835236181952</v>
      </c>
      <c r="I45" t="s">
        <v>15</v>
      </c>
    </row>
    <row r="46" spans="1:9">
      <c r="A46" t="s">
        <v>190</v>
      </c>
      <c r="B46" t="s">
        <v>191</v>
      </c>
      <c r="C46" t="s">
        <v>36</v>
      </c>
      <c r="D46" t="s">
        <v>14</v>
      </c>
      <c r="E46" s="1">
        <v>39925</v>
      </c>
      <c r="F46">
        <v>15.5</v>
      </c>
      <c r="G46" s="2">
        <v>22.0461359567629</v>
      </c>
      <c r="H46" s="2">
        <v>341.715107329824</v>
      </c>
      <c r="I46" t="s">
        <v>22</v>
      </c>
    </row>
    <row r="47" spans="1:9">
      <c r="A47" t="s">
        <v>193</v>
      </c>
      <c r="B47" t="s">
        <v>194</v>
      </c>
      <c r="C47" t="s">
        <v>20</v>
      </c>
      <c r="D47" t="s">
        <v>59</v>
      </c>
      <c r="E47" s="1">
        <v>39226</v>
      </c>
      <c r="F47">
        <v>25</v>
      </c>
      <c r="G47" s="2">
        <v>29.0167556854929</v>
      </c>
      <c r="H47" s="2">
        <v>725.418892137322</v>
      </c>
      <c r="I47" t="s">
        <v>22</v>
      </c>
    </row>
    <row r="48" spans="1:9">
      <c r="A48" t="s">
        <v>196</v>
      </c>
      <c r="B48" t="s">
        <v>197</v>
      </c>
      <c r="C48" t="s">
        <v>36</v>
      </c>
      <c r="D48" t="s">
        <v>14</v>
      </c>
      <c r="E48" s="1">
        <v>40561</v>
      </c>
      <c r="F48">
        <v>40</v>
      </c>
      <c r="G48" s="2">
        <v>27.3588677466791</v>
      </c>
      <c r="H48" s="2">
        <v>1094.35470986716</v>
      </c>
      <c r="I48" t="s">
        <v>15</v>
      </c>
    </row>
    <row r="49" spans="1:9">
      <c r="A49" t="s">
        <v>198</v>
      </c>
      <c r="B49" t="s">
        <v>199</v>
      </c>
      <c r="C49" t="s">
        <v>36</v>
      </c>
      <c r="D49" t="s">
        <v>14</v>
      </c>
      <c r="E49" s="1">
        <v>38080</v>
      </c>
      <c r="F49">
        <v>40</v>
      </c>
      <c r="G49" s="2">
        <v>23.5591787626696</v>
      </c>
      <c r="H49" s="2">
        <v>942.367150506783</v>
      </c>
      <c r="I49" t="s">
        <v>15</v>
      </c>
    </row>
    <row r="50" spans="1:9">
      <c r="A50" t="s">
        <v>200</v>
      </c>
      <c r="B50" t="s">
        <v>201</v>
      </c>
      <c r="C50" t="s">
        <v>13</v>
      </c>
      <c r="D50" t="s">
        <v>59</v>
      </c>
      <c r="E50" s="1">
        <v>37784</v>
      </c>
      <c r="F50">
        <v>38</v>
      </c>
      <c r="G50" s="2">
        <v>25.8959240312466</v>
      </c>
      <c r="H50" s="2">
        <v>984.04511318737</v>
      </c>
      <c r="I50" t="s">
        <v>22</v>
      </c>
    </row>
    <row r="51" spans="1:9">
      <c r="A51" t="s">
        <v>202</v>
      </c>
      <c r="B51" t="s">
        <v>203</v>
      </c>
      <c r="C51" t="s">
        <v>20</v>
      </c>
      <c r="D51" t="s">
        <v>51</v>
      </c>
      <c r="E51" s="1">
        <v>40135</v>
      </c>
      <c r="F51">
        <v>40</v>
      </c>
      <c r="G51" s="2">
        <v>23.7440482448647</v>
      </c>
      <c r="H51" s="2">
        <v>949.761929794589</v>
      </c>
      <c r="I51" t="s">
        <v>15</v>
      </c>
    </row>
    <row r="52" spans="1:9">
      <c r="A52" t="s">
        <v>204</v>
      </c>
      <c r="B52" t="s">
        <v>205</v>
      </c>
      <c r="C52" t="s">
        <v>20</v>
      </c>
      <c r="D52" t="s">
        <v>59</v>
      </c>
      <c r="E52" s="1">
        <v>38851</v>
      </c>
      <c r="F52">
        <v>40</v>
      </c>
      <c r="G52" s="2">
        <v>22.1172203389426</v>
      </c>
      <c r="H52" s="2">
        <v>884.688813557704</v>
      </c>
      <c r="I52" t="s">
        <v>15</v>
      </c>
    </row>
    <row r="53" spans="1:9">
      <c r="A53" t="s">
        <v>206</v>
      </c>
      <c r="B53" t="s">
        <v>207</v>
      </c>
      <c r="C53" t="s">
        <v>20</v>
      </c>
      <c r="D53" t="s">
        <v>21</v>
      </c>
      <c r="E53" s="1">
        <v>38995</v>
      </c>
      <c r="F53">
        <v>40</v>
      </c>
      <c r="G53" s="2">
        <v>28.5041873925272</v>
      </c>
      <c r="H53" s="2">
        <v>1140.16749570109</v>
      </c>
      <c r="I53" t="s">
        <v>15</v>
      </c>
    </row>
    <row r="54" spans="1:9">
      <c r="A54" t="s">
        <v>208</v>
      </c>
      <c r="B54" t="s">
        <v>209</v>
      </c>
      <c r="C54" t="s">
        <v>27</v>
      </c>
      <c r="D54" t="s">
        <v>59</v>
      </c>
      <c r="E54" s="1">
        <v>37439</v>
      </c>
      <c r="F54">
        <v>40</v>
      </c>
      <c r="G54" s="2">
        <v>23.8861934229302</v>
      </c>
      <c r="H54" s="2">
        <v>955.447736917208</v>
      </c>
      <c r="I54" t="s">
        <v>15</v>
      </c>
    </row>
    <row r="55" spans="1:9">
      <c r="A55" t="s">
        <v>210</v>
      </c>
      <c r="B55" t="s">
        <v>211</v>
      </c>
      <c r="C55" t="s">
        <v>13</v>
      </c>
      <c r="D55" t="s">
        <v>51</v>
      </c>
      <c r="E55" s="1">
        <v>40601</v>
      </c>
      <c r="F55">
        <v>40</v>
      </c>
      <c r="G55" s="2">
        <v>24.4318025315317</v>
      </c>
      <c r="H55" s="2">
        <v>977.272101261268</v>
      </c>
      <c r="I55" t="s">
        <v>15</v>
      </c>
    </row>
    <row r="56" spans="1:9">
      <c r="A56" t="s">
        <v>212</v>
      </c>
      <c r="B56" t="s">
        <v>213</v>
      </c>
      <c r="C56" t="s">
        <v>27</v>
      </c>
      <c r="D56" t="s">
        <v>21</v>
      </c>
      <c r="E56" s="1">
        <v>36264</v>
      </c>
      <c r="F56">
        <v>40</v>
      </c>
      <c r="G56" s="2">
        <v>24.3651867901812</v>
      </c>
      <c r="H56" s="2">
        <v>974.607471607247</v>
      </c>
      <c r="I56" t="s">
        <v>15</v>
      </c>
    </row>
    <row r="57" spans="1:9">
      <c r="A57" t="s">
        <v>214</v>
      </c>
      <c r="B57" t="s">
        <v>215</v>
      </c>
      <c r="C57" t="s">
        <v>20</v>
      </c>
      <c r="D57" t="s">
        <v>14</v>
      </c>
      <c r="E57" s="1">
        <v>39238</v>
      </c>
      <c r="F57">
        <v>40</v>
      </c>
      <c r="G57" s="2">
        <v>26.7929940105714</v>
      </c>
      <c r="H57" s="2">
        <v>1071.71976042286</v>
      </c>
      <c r="I57" t="s">
        <v>15</v>
      </c>
    </row>
    <row r="58" spans="1:9">
      <c r="A58" t="s">
        <v>216</v>
      </c>
      <c r="B58" t="s">
        <v>217</v>
      </c>
      <c r="C58" t="s">
        <v>13</v>
      </c>
      <c r="D58" t="s">
        <v>59</v>
      </c>
      <c r="E58" s="1">
        <v>40754</v>
      </c>
      <c r="F58">
        <v>32</v>
      </c>
      <c r="G58" s="2">
        <v>26.9521621799409</v>
      </c>
      <c r="H58" s="2">
        <v>862.46918975811</v>
      </c>
      <c r="I58" t="s">
        <v>22</v>
      </c>
    </row>
    <row r="59" spans="1:9">
      <c r="A59" t="s">
        <v>218</v>
      </c>
      <c r="B59" t="s">
        <v>219</v>
      </c>
      <c r="C59" t="s">
        <v>36</v>
      </c>
      <c r="D59" t="s">
        <v>14</v>
      </c>
      <c r="E59" s="1">
        <v>39138</v>
      </c>
      <c r="F59">
        <v>15.5</v>
      </c>
      <c r="G59" s="2">
        <v>26.3802017837466</v>
      </c>
      <c r="H59" s="2">
        <v>408.893127648072</v>
      </c>
      <c r="I59" t="s">
        <v>22</v>
      </c>
    </row>
    <row r="60" spans="1:9">
      <c r="A60" t="s">
        <v>220</v>
      </c>
      <c r="B60" t="s">
        <v>221</v>
      </c>
      <c r="C60" t="s">
        <v>36</v>
      </c>
      <c r="D60" t="s">
        <v>14</v>
      </c>
      <c r="E60" s="1">
        <v>38217</v>
      </c>
      <c r="F60">
        <v>40</v>
      </c>
      <c r="G60" s="2">
        <v>29.4332293587101</v>
      </c>
      <c r="H60" s="2">
        <v>1177.32917434841</v>
      </c>
      <c r="I60" t="s">
        <v>15</v>
      </c>
    </row>
    <row r="61" spans="1:9">
      <c r="A61" t="s">
        <v>222</v>
      </c>
      <c r="B61" t="s">
        <v>223</v>
      </c>
      <c r="C61" t="s">
        <v>27</v>
      </c>
      <c r="D61" t="s">
        <v>21</v>
      </c>
      <c r="E61" s="1">
        <v>39378</v>
      </c>
      <c r="F61">
        <v>40</v>
      </c>
      <c r="G61" s="2">
        <v>22.9135978775507</v>
      </c>
      <c r="H61" s="2">
        <v>916.54391510203</v>
      </c>
      <c r="I61" t="s">
        <v>15</v>
      </c>
    </row>
    <row r="62" spans="1:9">
      <c r="A62" t="s">
        <v>224</v>
      </c>
      <c r="B62" t="s">
        <v>225</v>
      </c>
      <c r="C62" t="s">
        <v>27</v>
      </c>
      <c r="D62" t="s">
        <v>14</v>
      </c>
      <c r="E62" s="1">
        <v>41968</v>
      </c>
      <c r="F62">
        <v>40</v>
      </c>
      <c r="G62" s="2">
        <v>21.063510642513</v>
      </c>
      <c r="H62" s="2">
        <v>842.540425700521</v>
      </c>
      <c r="I62" t="s">
        <v>15</v>
      </c>
    </row>
    <row r="63" spans="1:9">
      <c r="A63" t="s">
        <v>226</v>
      </c>
      <c r="B63" t="s">
        <v>227</v>
      </c>
      <c r="C63" t="s">
        <v>20</v>
      </c>
      <c r="D63" t="s">
        <v>14</v>
      </c>
      <c r="E63" s="1">
        <v>40397</v>
      </c>
      <c r="F63">
        <v>35</v>
      </c>
      <c r="G63" s="2">
        <v>26.1930616475145</v>
      </c>
      <c r="H63" s="2">
        <v>916.757157663007</v>
      </c>
      <c r="I63" t="s">
        <v>22</v>
      </c>
    </row>
    <row r="64" spans="1:9">
      <c r="A64" t="s">
        <v>228</v>
      </c>
      <c r="B64" t="s">
        <v>229</v>
      </c>
      <c r="C64" t="s">
        <v>13</v>
      </c>
      <c r="D64" t="s">
        <v>14</v>
      </c>
      <c r="E64" s="1">
        <v>38068</v>
      </c>
      <c r="F64">
        <v>35.5</v>
      </c>
      <c r="G64" s="2">
        <v>26.441106244959</v>
      </c>
      <c r="H64" s="2">
        <v>938.659271696046</v>
      </c>
      <c r="I64" t="s">
        <v>22</v>
      </c>
    </row>
    <row r="65" spans="1:9">
      <c r="A65" t="s">
        <v>230</v>
      </c>
      <c r="B65" t="s">
        <v>231</v>
      </c>
      <c r="C65" t="s">
        <v>13</v>
      </c>
      <c r="D65" t="s">
        <v>51</v>
      </c>
      <c r="E65" s="1">
        <v>38211</v>
      </c>
      <c r="F65">
        <v>32</v>
      </c>
      <c r="G65" s="2">
        <v>20.8628676904625</v>
      </c>
      <c r="H65" s="2">
        <v>667.6117660948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236</v>
      </c>
      <c r="B68" t="s">
        <v>237</v>
      </c>
      <c r="C68" t="s">
        <v>27</v>
      </c>
      <c r="D68" t="s">
        <v>59</v>
      </c>
      <c r="E68" s="1">
        <v>39418</v>
      </c>
      <c r="F68">
        <v>29.5</v>
      </c>
      <c r="G68" s="2">
        <v>27.2459372602021</v>
      </c>
      <c r="H68" s="2">
        <v>803.755149175961</v>
      </c>
      <c r="I68" t="s">
        <v>22</v>
      </c>
    </row>
    <row r="69" spans="1:9">
      <c r="A69" t="s">
        <v>238</v>
      </c>
      <c r="B69" t="s">
        <v>239</v>
      </c>
      <c r="C69" t="s">
        <v>13</v>
      </c>
      <c r="D69" t="s">
        <v>21</v>
      </c>
      <c r="E69" s="1">
        <v>40268</v>
      </c>
      <c r="F69">
        <v>32</v>
      </c>
      <c r="G69" s="2">
        <v>24.7808249198699</v>
      </c>
      <c r="H69" s="2">
        <v>792.986397435835</v>
      </c>
      <c r="I69" t="s">
        <v>22</v>
      </c>
    </row>
    <row r="70" spans="1:9">
      <c r="A70" t="s">
        <v>240</v>
      </c>
      <c r="B70" t="s">
        <v>241</v>
      </c>
      <c r="C70" t="s">
        <v>36</v>
      </c>
      <c r="D70" t="s">
        <v>21</v>
      </c>
      <c r="E70" s="1">
        <v>39770</v>
      </c>
      <c r="F70">
        <v>35</v>
      </c>
      <c r="G70" s="2">
        <v>20.9514694627171</v>
      </c>
      <c r="H70" s="2">
        <v>733.301431195098</v>
      </c>
      <c r="I70" t="s">
        <v>22</v>
      </c>
    </row>
    <row r="71" spans="1:9">
      <c r="A71" t="s">
        <v>242</v>
      </c>
      <c r="B71" t="s">
        <v>243</v>
      </c>
      <c r="C71" t="s">
        <v>27</v>
      </c>
      <c r="D71" t="s">
        <v>51</v>
      </c>
      <c r="E71" s="1">
        <v>37263</v>
      </c>
      <c r="F71">
        <v>40</v>
      </c>
      <c r="G71" s="2">
        <v>24.2132465350738</v>
      </c>
      <c r="H71" s="2">
        <v>968.529861402952</v>
      </c>
      <c r="I71" t="s">
        <v>15</v>
      </c>
    </row>
    <row r="72" spans="1:9">
      <c r="A72" t="s">
        <v>244</v>
      </c>
      <c r="B72" t="s">
        <v>245</v>
      </c>
      <c r="C72" t="s">
        <v>36</v>
      </c>
      <c r="D72" t="s">
        <v>51</v>
      </c>
      <c r="E72" s="1">
        <v>38990</v>
      </c>
      <c r="F72">
        <v>40</v>
      </c>
      <c r="G72" s="2">
        <v>26.6733350813367</v>
      </c>
      <c r="H72" s="2">
        <v>1066.93340325347</v>
      </c>
      <c r="I72" t="s">
        <v>15</v>
      </c>
    </row>
    <row r="73" spans="1:9">
      <c r="A73" t="s">
        <v>246</v>
      </c>
      <c r="B73" t="s">
        <v>247</v>
      </c>
      <c r="C73" t="s">
        <v>36</v>
      </c>
      <c r="D73" t="s">
        <v>51</v>
      </c>
      <c r="E73" s="1">
        <v>38288</v>
      </c>
      <c r="F73">
        <v>40</v>
      </c>
      <c r="G73" s="2">
        <v>23.270898653239</v>
      </c>
      <c r="H73" s="2">
        <v>930.835946129561</v>
      </c>
      <c r="I73" t="s">
        <v>15</v>
      </c>
    </row>
    <row r="74" spans="1:9">
      <c r="A74" t="s">
        <v>248</v>
      </c>
      <c r="B74" t="s">
        <v>249</v>
      </c>
      <c r="C74" t="s">
        <v>27</v>
      </c>
      <c r="D74" t="s">
        <v>51</v>
      </c>
      <c r="E74" s="1">
        <v>39752</v>
      </c>
      <c r="F74">
        <v>40</v>
      </c>
      <c r="G74" s="2">
        <v>29.6126531698801</v>
      </c>
      <c r="H74" s="2">
        <v>1184.5061267952</v>
      </c>
      <c r="I74" t="s">
        <v>15</v>
      </c>
    </row>
    <row r="75" spans="1:9">
      <c r="A75" t="s">
        <v>250</v>
      </c>
      <c r="B75" t="s">
        <v>251</v>
      </c>
      <c r="C75" t="s">
        <v>20</v>
      </c>
      <c r="D75" t="s">
        <v>59</v>
      </c>
      <c r="E75" s="1">
        <v>38029</v>
      </c>
      <c r="F75">
        <v>25</v>
      </c>
      <c r="G75" s="2">
        <v>27.1249727517577</v>
      </c>
      <c r="H75" s="2">
        <v>678.124318793942</v>
      </c>
      <c r="I75" t="s">
        <v>22</v>
      </c>
    </row>
    <row r="76" spans="1:9">
      <c r="A76" t="s">
        <v>252</v>
      </c>
      <c r="B76" t="s">
        <v>253</v>
      </c>
      <c r="C76" t="s">
        <v>13</v>
      </c>
      <c r="D76" t="s">
        <v>51</v>
      </c>
      <c r="E76" s="1">
        <v>38990</v>
      </c>
      <c r="F76">
        <v>40</v>
      </c>
      <c r="G76" s="2">
        <v>20.55570522982</v>
      </c>
      <c r="H76" s="2">
        <v>822.2282091928</v>
      </c>
      <c r="I76" t="s">
        <v>15</v>
      </c>
    </row>
    <row r="77" spans="1:9">
      <c r="A77" t="s">
        <v>254</v>
      </c>
      <c r="B77" t="s">
        <v>255</v>
      </c>
      <c r="C77" t="s">
        <v>27</v>
      </c>
      <c r="D77" t="s">
        <v>51</v>
      </c>
      <c r="E77" s="1">
        <v>40139</v>
      </c>
      <c r="F77">
        <v>42</v>
      </c>
      <c r="G77" s="2">
        <v>23.7429467910733</v>
      </c>
      <c r="H77" s="2">
        <v>997.20376522508</v>
      </c>
      <c r="I77" t="s">
        <v>15</v>
      </c>
    </row>
    <row r="78" spans="1:9">
      <c r="A78" t="s">
        <v>256</v>
      </c>
      <c r="B78" t="s">
        <v>257</v>
      </c>
      <c r="C78" t="s">
        <v>13</v>
      </c>
      <c r="D78" t="s">
        <v>14</v>
      </c>
      <c r="E78" s="1">
        <v>39601</v>
      </c>
      <c r="F78">
        <v>25</v>
      </c>
      <c r="G78" s="2">
        <v>20.6563505176776</v>
      </c>
      <c r="H78" s="2">
        <v>516.40876294194</v>
      </c>
      <c r="I78" t="s">
        <v>22</v>
      </c>
    </row>
    <row r="79" spans="1:9">
      <c r="A79" t="s">
        <v>258</v>
      </c>
      <c r="B79" t="s">
        <v>259</v>
      </c>
      <c r="C79" t="s">
        <v>20</v>
      </c>
      <c r="D79" t="s">
        <v>21</v>
      </c>
      <c r="E79" s="1">
        <v>40035</v>
      </c>
      <c r="F79">
        <v>40</v>
      </c>
      <c r="G79" s="2">
        <v>24.7613808611318</v>
      </c>
      <c r="H79" s="2">
        <v>990.455234445274</v>
      </c>
      <c r="I79" t="s">
        <v>15</v>
      </c>
    </row>
    <row r="80" spans="1:9">
      <c r="A80" t="s">
        <v>260</v>
      </c>
      <c r="B80" t="s">
        <v>261</v>
      </c>
      <c r="C80" t="s">
        <v>27</v>
      </c>
      <c r="D80" t="s">
        <v>59</v>
      </c>
      <c r="E80" s="1">
        <v>40296</v>
      </c>
      <c r="F80">
        <v>42</v>
      </c>
      <c r="G80" s="2">
        <v>21.2089102328483</v>
      </c>
      <c r="H80" s="2">
        <v>890.774229779629</v>
      </c>
      <c r="I80" t="s">
        <v>15</v>
      </c>
    </row>
    <row r="81" spans="1:9">
      <c r="A81" t="s">
        <v>262</v>
      </c>
      <c r="B81" t="s">
        <v>263</v>
      </c>
      <c r="C81" t="s">
        <v>27</v>
      </c>
      <c r="D81" t="s">
        <v>14</v>
      </c>
      <c r="E81" s="1">
        <v>36953</v>
      </c>
      <c r="F81">
        <v>40</v>
      </c>
      <c r="G81" s="2">
        <v>29.6869323887969</v>
      </c>
      <c r="H81" s="2">
        <v>1187.47729555188</v>
      </c>
      <c r="I81" t="s">
        <v>15</v>
      </c>
    </row>
    <row r="82" spans="1:9">
      <c r="A82" t="s">
        <v>264</v>
      </c>
      <c r="B82" t="s">
        <v>265</v>
      </c>
      <c r="C82" t="s">
        <v>36</v>
      </c>
      <c r="D82" t="s">
        <v>14</v>
      </c>
      <c r="E82" s="1">
        <v>36948</v>
      </c>
      <c r="F82">
        <v>15.5</v>
      </c>
      <c r="G82" s="2">
        <v>27.0324725336245</v>
      </c>
      <c r="H82" s="2">
        <v>419.003324271179</v>
      </c>
      <c r="I82" t="s">
        <v>22</v>
      </c>
    </row>
    <row r="83" spans="1:9">
      <c r="A83" t="s">
        <v>266</v>
      </c>
      <c r="B83" t="s">
        <v>267</v>
      </c>
      <c r="C83" t="s">
        <v>27</v>
      </c>
      <c r="D83" t="s">
        <v>21</v>
      </c>
      <c r="E83" s="1">
        <v>40537</v>
      </c>
      <c r="F83">
        <v>40</v>
      </c>
      <c r="G83" s="2">
        <v>23.8393078808562</v>
      </c>
      <c r="H83" s="2">
        <v>953.572315234248</v>
      </c>
      <c r="I83" t="s">
        <v>15</v>
      </c>
    </row>
    <row r="84" spans="1:9">
      <c r="A84" t="s">
        <v>268</v>
      </c>
      <c r="B84" t="s">
        <v>269</v>
      </c>
      <c r="C84" t="s">
        <v>27</v>
      </c>
      <c r="D84" t="s">
        <v>21</v>
      </c>
      <c r="E84" s="1">
        <v>40692</v>
      </c>
      <c r="F84">
        <v>29.5</v>
      </c>
      <c r="G84" s="2">
        <v>26.1711140052097</v>
      </c>
      <c r="H84" s="2">
        <v>772.047863153687</v>
      </c>
      <c r="I84" t="s">
        <v>22</v>
      </c>
    </row>
    <row r="85" spans="1:9">
      <c r="A85" t="s">
        <v>270</v>
      </c>
      <c r="B85" t="s">
        <v>271</v>
      </c>
      <c r="C85" t="s">
        <v>27</v>
      </c>
      <c r="D85" t="s">
        <v>21</v>
      </c>
      <c r="E85" s="1">
        <v>38211</v>
      </c>
      <c r="F85">
        <v>29.5</v>
      </c>
      <c r="G85" s="2">
        <v>24.9382581014963</v>
      </c>
      <c r="H85" s="2">
        <v>735.67861399414</v>
      </c>
      <c r="I85" t="s">
        <v>22</v>
      </c>
    </row>
    <row r="86" spans="1:9">
      <c r="A86" t="s">
        <v>272</v>
      </c>
      <c r="B86" t="s">
        <v>273</v>
      </c>
      <c r="C86" t="s">
        <v>36</v>
      </c>
      <c r="D86" t="s">
        <v>21</v>
      </c>
      <c r="E86" s="1">
        <v>39435</v>
      </c>
      <c r="F86">
        <v>40</v>
      </c>
      <c r="G86" s="2">
        <v>21.9331419032506</v>
      </c>
      <c r="H86" s="2">
        <v>877.325676130023</v>
      </c>
      <c r="I86" t="s">
        <v>15</v>
      </c>
    </row>
    <row r="87" spans="1:9">
      <c r="A87" t="s">
        <v>274</v>
      </c>
      <c r="B87" t="s">
        <v>275</v>
      </c>
      <c r="C87" t="s">
        <v>36</v>
      </c>
      <c r="D87" t="s">
        <v>14</v>
      </c>
      <c r="E87" s="1">
        <v>40417</v>
      </c>
      <c r="F87">
        <v>15.5</v>
      </c>
      <c r="G87" s="2">
        <v>22.2269085765447</v>
      </c>
      <c r="H87" s="2">
        <v>344.517082936443</v>
      </c>
      <c r="I87" t="s">
        <v>22</v>
      </c>
    </row>
    <row r="88" spans="1:9">
      <c r="A88" t="s">
        <v>276</v>
      </c>
      <c r="B88" t="s">
        <v>277</v>
      </c>
      <c r="C88" t="s">
        <v>36</v>
      </c>
      <c r="D88" t="s">
        <v>21</v>
      </c>
      <c r="E88" s="1">
        <v>38880</v>
      </c>
      <c r="F88">
        <v>40</v>
      </c>
      <c r="G88" s="2">
        <v>28.5121956001453</v>
      </c>
      <c r="H88" s="2">
        <v>1140.48782400581</v>
      </c>
      <c r="I88" t="s">
        <v>15</v>
      </c>
    </row>
    <row r="89" spans="1:9">
      <c r="A89" t="s">
        <v>278</v>
      </c>
      <c r="B89" t="s">
        <v>279</v>
      </c>
      <c r="C89" t="s">
        <v>20</v>
      </c>
      <c r="D89" t="s">
        <v>59</v>
      </c>
      <c r="E89" s="1">
        <v>38084</v>
      </c>
      <c r="F89">
        <v>38</v>
      </c>
      <c r="G89" s="2">
        <v>26.1580386214767</v>
      </c>
      <c r="H89" s="2">
        <v>994.005467616114</v>
      </c>
      <c r="I89" t="s">
        <v>22</v>
      </c>
    </row>
    <row r="90" spans="1:9">
      <c r="A90" t="s">
        <v>280</v>
      </c>
      <c r="B90" t="s">
        <v>281</v>
      </c>
      <c r="C90" t="s">
        <v>20</v>
      </c>
      <c r="D90" t="s">
        <v>14</v>
      </c>
      <c r="E90" s="1">
        <v>37112</v>
      </c>
      <c r="F90">
        <v>38</v>
      </c>
      <c r="G90" s="2">
        <v>29.9674239695174</v>
      </c>
      <c r="H90" s="2">
        <v>1138.76211084166</v>
      </c>
      <c r="I90" t="s">
        <v>22</v>
      </c>
    </row>
    <row r="91" spans="1:9">
      <c r="A91" t="s">
        <v>282</v>
      </c>
      <c r="B91" t="s">
        <v>283</v>
      </c>
      <c r="C91" t="s">
        <v>27</v>
      </c>
      <c r="D91" t="s">
        <v>51</v>
      </c>
      <c r="E91" s="1">
        <v>37948</v>
      </c>
      <c r="F91">
        <v>40</v>
      </c>
      <c r="G91" s="2">
        <v>25.3452862696831</v>
      </c>
      <c r="H91" s="2">
        <v>1013.81145078732</v>
      </c>
      <c r="I91" t="s">
        <v>15</v>
      </c>
    </row>
    <row r="92" spans="1:9">
      <c r="A92" t="s">
        <v>284</v>
      </c>
      <c r="B92" t="s">
        <v>285</v>
      </c>
      <c r="C92" t="s">
        <v>36</v>
      </c>
      <c r="D92" t="s">
        <v>14</v>
      </c>
      <c r="E92" s="1">
        <v>39059</v>
      </c>
      <c r="F92">
        <v>40</v>
      </c>
      <c r="G92" s="2">
        <v>25.6019372294119</v>
      </c>
      <c r="H92" s="2">
        <v>1024.07748917648</v>
      </c>
      <c r="I92" t="s">
        <v>15</v>
      </c>
    </row>
    <row r="93" spans="1:9">
      <c r="A93" t="s">
        <v>286</v>
      </c>
      <c r="B93" t="s">
        <v>287</v>
      </c>
      <c r="C93" t="s">
        <v>20</v>
      </c>
      <c r="D93" t="s">
        <v>14</v>
      </c>
      <c r="E93" s="1">
        <v>38533</v>
      </c>
      <c r="F93">
        <v>35.5</v>
      </c>
      <c r="G93" s="2">
        <v>23.9214244689799</v>
      </c>
      <c r="H93" s="2">
        <v>849.210568648788</v>
      </c>
      <c r="I93" t="s">
        <v>22</v>
      </c>
    </row>
    <row r="94" spans="1:9">
      <c r="A94" t="s">
        <v>288</v>
      </c>
      <c r="B94" t="s">
        <v>289</v>
      </c>
      <c r="C94" t="s">
        <v>36</v>
      </c>
      <c r="D94" t="s">
        <v>59</v>
      </c>
      <c r="E94" s="1">
        <v>38744</v>
      </c>
      <c r="F94">
        <v>35</v>
      </c>
      <c r="G94" s="2">
        <v>20.3208991153415</v>
      </c>
      <c r="H94" s="2">
        <v>711.231469036951</v>
      </c>
      <c r="I94" t="s">
        <v>22</v>
      </c>
    </row>
    <row r="95" spans="1:9">
      <c r="A95" t="s">
        <v>290</v>
      </c>
      <c r="B95" t="s">
        <v>291</v>
      </c>
      <c r="C95" t="s">
        <v>20</v>
      </c>
      <c r="D95" t="s">
        <v>59</v>
      </c>
      <c r="E95" s="1">
        <v>40119</v>
      </c>
      <c r="F95">
        <v>35</v>
      </c>
      <c r="G95" s="2">
        <v>27.5256373926534</v>
      </c>
      <c r="H95" s="2">
        <v>963.397308742868</v>
      </c>
      <c r="I95" t="s">
        <v>22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workbookViewId="0">
      <selection activeCell="A1" sqref="A1:I95"/>
    </sheetView>
  </sheetViews>
  <sheetFormatPr defaultColWidth="8.88888888888889" defaultRowHeight="14.4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</row>
    <row r="3" spans="1:9">
      <c r="A3" t="s">
        <v>18</v>
      </c>
      <c r="B3" t="s">
        <v>19</v>
      </c>
      <c r="C3" t="s">
        <v>20</v>
      </c>
      <c r="D3" t="s">
        <v>21</v>
      </c>
      <c r="E3" s="1">
        <v>40574</v>
      </c>
      <c r="F3">
        <v>35</v>
      </c>
      <c r="G3" s="2">
        <v>27.7308540634317</v>
      </c>
      <c r="H3" s="2">
        <v>970.57989222011</v>
      </c>
      <c r="I3" t="s">
        <v>22</v>
      </c>
    </row>
    <row r="4" spans="1:9">
      <c r="A4" t="s">
        <v>25</v>
      </c>
      <c r="B4" t="s">
        <v>26</v>
      </c>
      <c r="C4" t="s">
        <v>27</v>
      </c>
      <c r="D4" t="s">
        <v>14</v>
      </c>
      <c r="E4" s="1">
        <v>39089</v>
      </c>
      <c r="F4">
        <v>42</v>
      </c>
      <c r="G4" s="2">
        <v>23.2385457007659</v>
      </c>
      <c r="H4" s="2">
        <v>976.018919432168</v>
      </c>
      <c r="I4" t="s">
        <v>15</v>
      </c>
    </row>
    <row r="5" spans="1:9">
      <c r="A5" t="s">
        <v>30</v>
      </c>
      <c r="B5" t="s">
        <v>31</v>
      </c>
      <c r="C5" t="s">
        <v>20</v>
      </c>
      <c r="D5" t="s">
        <v>14</v>
      </c>
      <c r="E5" s="1">
        <v>40095</v>
      </c>
      <c r="F5">
        <v>40</v>
      </c>
      <c r="G5" s="2">
        <v>29.6040358356933</v>
      </c>
      <c r="H5" s="2">
        <v>1184.16143342773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14</v>
      </c>
      <c r="E6" s="1">
        <v>38863</v>
      </c>
      <c r="F6">
        <v>40</v>
      </c>
      <c r="G6" s="2">
        <v>20.2945957445476</v>
      </c>
      <c r="H6" s="2">
        <v>811.783829781904</v>
      </c>
      <c r="I6" t="s">
        <v>15</v>
      </c>
    </row>
    <row r="7" spans="1:9">
      <c r="A7" t="s">
        <v>38</v>
      </c>
      <c r="B7" t="s">
        <v>39</v>
      </c>
      <c r="C7" t="s">
        <v>27</v>
      </c>
      <c r="D7" t="s">
        <v>21</v>
      </c>
      <c r="E7" s="1">
        <v>39329</v>
      </c>
      <c r="F7">
        <v>29.5</v>
      </c>
      <c r="G7" s="2">
        <v>22.5040616496157</v>
      </c>
      <c r="H7" s="2">
        <v>663.869818663664</v>
      </c>
      <c r="I7" t="s">
        <v>22</v>
      </c>
    </row>
    <row r="8" spans="1:9">
      <c r="A8" t="s">
        <v>42</v>
      </c>
      <c r="B8" t="s">
        <v>43</v>
      </c>
      <c r="C8" t="s">
        <v>27</v>
      </c>
      <c r="D8" t="s">
        <v>14</v>
      </c>
      <c r="E8" s="1">
        <v>38372</v>
      </c>
      <c r="F8">
        <v>35.5</v>
      </c>
      <c r="G8" s="2">
        <v>23.7146915473977</v>
      </c>
      <c r="H8" s="2">
        <v>841.87154993262</v>
      </c>
      <c r="I8" t="s">
        <v>22</v>
      </c>
    </row>
    <row r="9" spans="1:9">
      <c r="A9" t="s">
        <v>46</v>
      </c>
      <c r="B9" t="s">
        <v>47</v>
      </c>
      <c r="C9" t="s">
        <v>27</v>
      </c>
      <c r="D9" t="s">
        <v>21</v>
      </c>
      <c r="E9" s="1">
        <v>37721</v>
      </c>
      <c r="F9">
        <v>40</v>
      </c>
      <c r="G9" s="2">
        <v>24.6342558337354</v>
      </c>
      <c r="H9" s="2">
        <v>985.370233349417</v>
      </c>
      <c r="I9" t="s">
        <v>15</v>
      </c>
    </row>
    <row r="10" spans="1:9">
      <c r="A10" t="s">
        <v>49</v>
      </c>
      <c r="B10" t="s">
        <v>50</v>
      </c>
      <c r="C10" t="s">
        <v>36</v>
      </c>
      <c r="D10" t="s">
        <v>51</v>
      </c>
      <c r="E10" s="1">
        <v>38014</v>
      </c>
      <c r="F10">
        <v>40</v>
      </c>
      <c r="G10" s="2">
        <v>24.0625161257531</v>
      </c>
      <c r="H10" s="2">
        <v>962.500645030123</v>
      </c>
      <c r="I10" t="s">
        <v>15</v>
      </c>
    </row>
    <row r="11" spans="1:9">
      <c r="A11" t="s">
        <v>54</v>
      </c>
      <c r="B11" t="s">
        <v>55</v>
      </c>
      <c r="C11" t="s">
        <v>27</v>
      </c>
      <c r="D11" t="s">
        <v>14</v>
      </c>
      <c r="E11" s="1">
        <v>39406</v>
      </c>
      <c r="F11">
        <v>35.5</v>
      </c>
      <c r="G11" s="2">
        <v>22.4745266505368</v>
      </c>
      <c r="H11" s="2">
        <v>797.845696094057</v>
      </c>
      <c r="I11" t="s">
        <v>22</v>
      </c>
    </row>
    <row r="12" spans="1:9">
      <c r="A12" t="s">
        <v>57</v>
      </c>
      <c r="B12" t="s">
        <v>58</v>
      </c>
      <c r="C12" t="s">
        <v>36</v>
      </c>
      <c r="D12" t="s">
        <v>59</v>
      </c>
      <c r="E12" s="1">
        <v>40636</v>
      </c>
      <c r="F12">
        <v>40</v>
      </c>
      <c r="G12" s="2">
        <v>26.2274469754406</v>
      </c>
      <c r="H12" s="2">
        <v>1049.09787901763</v>
      </c>
      <c r="I12" t="s">
        <v>15</v>
      </c>
    </row>
    <row r="13" spans="1:9">
      <c r="A13" t="s">
        <v>62</v>
      </c>
      <c r="B13" t="s">
        <v>63</v>
      </c>
      <c r="C13" t="s">
        <v>36</v>
      </c>
      <c r="D13" t="s">
        <v>59</v>
      </c>
      <c r="E13" s="1">
        <v>37299</v>
      </c>
      <c r="F13">
        <v>40</v>
      </c>
      <c r="G13" s="2">
        <v>20.4595521381667</v>
      </c>
      <c r="H13" s="2">
        <v>818.382085526669</v>
      </c>
      <c r="I13" t="s">
        <v>15</v>
      </c>
    </row>
    <row r="14" spans="1:9">
      <c r="A14" t="s">
        <v>65</v>
      </c>
      <c r="B14" t="s">
        <v>66</v>
      </c>
      <c r="C14" t="s">
        <v>36</v>
      </c>
      <c r="D14" t="s">
        <v>14</v>
      </c>
      <c r="E14" s="1">
        <v>39601</v>
      </c>
      <c r="F14">
        <v>40</v>
      </c>
      <c r="G14" s="2">
        <v>20.3846080101342</v>
      </c>
      <c r="H14" s="2">
        <v>815.384320405368</v>
      </c>
      <c r="I14" t="s">
        <v>15</v>
      </c>
    </row>
    <row r="15" spans="1:9">
      <c r="A15" t="s">
        <v>69</v>
      </c>
      <c r="B15" t="s">
        <v>70</v>
      </c>
      <c r="C15" t="s">
        <v>36</v>
      </c>
      <c r="D15" t="s">
        <v>59</v>
      </c>
      <c r="E15" s="1">
        <v>39051</v>
      </c>
      <c r="F15">
        <v>15.5</v>
      </c>
      <c r="G15" s="2">
        <v>23.8590814253866</v>
      </c>
      <c r="H15" s="2">
        <v>369.815762093492</v>
      </c>
      <c r="I15" t="s">
        <v>22</v>
      </c>
    </row>
    <row r="16" spans="1:9">
      <c r="A16" t="s">
        <v>72</v>
      </c>
      <c r="B16" t="s">
        <v>73</v>
      </c>
      <c r="C16" t="s">
        <v>13</v>
      </c>
      <c r="D16" t="s">
        <v>59</v>
      </c>
      <c r="E16" s="1">
        <v>39223</v>
      </c>
      <c r="F16">
        <v>38</v>
      </c>
      <c r="G16" s="2">
        <v>26.2234936764226</v>
      </c>
      <c r="H16" s="2">
        <v>996.49275970406</v>
      </c>
      <c r="I16" t="s">
        <v>22</v>
      </c>
    </row>
    <row r="17" spans="1:9">
      <c r="A17" t="s">
        <v>76</v>
      </c>
      <c r="B17" t="s">
        <v>77</v>
      </c>
      <c r="C17" t="s">
        <v>20</v>
      </c>
      <c r="D17" t="s">
        <v>59</v>
      </c>
      <c r="E17" s="1">
        <v>39259</v>
      </c>
      <c r="F17">
        <v>40</v>
      </c>
      <c r="G17" s="2">
        <v>24.122312108731</v>
      </c>
      <c r="H17" s="2">
        <v>964.89248434924</v>
      </c>
      <c r="I17" t="s">
        <v>15</v>
      </c>
    </row>
    <row r="18" spans="1:9">
      <c r="A18" t="s">
        <v>80</v>
      </c>
      <c r="B18" t="s">
        <v>81</v>
      </c>
      <c r="C18" t="s">
        <v>27</v>
      </c>
      <c r="D18" t="s">
        <v>14</v>
      </c>
      <c r="E18" s="1">
        <v>40108</v>
      </c>
      <c r="F18">
        <v>40</v>
      </c>
      <c r="G18" s="2">
        <v>27.4278911367849</v>
      </c>
      <c r="H18" s="2">
        <v>1097.11564547139</v>
      </c>
      <c r="I18" t="s">
        <v>15</v>
      </c>
    </row>
    <row r="19" spans="1:9">
      <c r="A19" t="s">
        <v>84</v>
      </c>
      <c r="B19" t="s">
        <v>85</v>
      </c>
      <c r="C19" t="s">
        <v>13</v>
      </c>
      <c r="D19" t="s">
        <v>14</v>
      </c>
      <c r="E19" s="1">
        <v>39865</v>
      </c>
      <c r="F19">
        <v>35</v>
      </c>
      <c r="G19" s="2">
        <v>24.9864365543203</v>
      </c>
      <c r="H19" s="2">
        <v>874.525279401211</v>
      </c>
      <c r="I19" t="s">
        <v>22</v>
      </c>
    </row>
    <row r="20" spans="1:9">
      <c r="A20" t="s">
        <v>88</v>
      </c>
      <c r="B20" t="s">
        <v>89</v>
      </c>
      <c r="C20" t="s">
        <v>36</v>
      </c>
      <c r="D20" t="s">
        <v>51</v>
      </c>
      <c r="E20" s="1">
        <v>38551</v>
      </c>
      <c r="F20">
        <v>40</v>
      </c>
      <c r="G20" s="2">
        <v>28.1837716768448</v>
      </c>
      <c r="H20" s="2">
        <v>1127.35086707379</v>
      </c>
      <c r="I20" t="s">
        <v>15</v>
      </c>
    </row>
    <row r="21" spans="1:9">
      <c r="A21" t="s">
        <v>92</v>
      </c>
      <c r="B21" t="s">
        <v>93</v>
      </c>
      <c r="C21" t="s">
        <v>20</v>
      </c>
      <c r="D21" t="s">
        <v>21</v>
      </c>
      <c r="E21" s="1">
        <v>38202</v>
      </c>
      <c r="F21">
        <v>35.5</v>
      </c>
      <c r="G21" s="2">
        <v>23.5513467037949</v>
      </c>
      <c r="H21" s="2">
        <v>836.072807984721</v>
      </c>
      <c r="I21" t="s">
        <v>22</v>
      </c>
    </row>
    <row r="22" spans="1:9">
      <c r="A22" t="s">
        <v>96</v>
      </c>
      <c r="B22" t="s">
        <v>97</v>
      </c>
      <c r="C22" t="s">
        <v>20</v>
      </c>
      <c r="D22" t="s">
        <v>21</v>
      </c>
      <c r="E22" s="1">
        <v>39385</v>
      </c>
      <c r="F22">
        <v>38</v>
      </c>
      <c r="G22" s="2">
        <v>21.527759251738</v>
      </c>
      <c r="H22" s="2">
        <v>818.054851566046</v>
      </c>
      <c r="I22" t="s">
        <v>22</v>
      </c>
    </row>
    <row r="23" spans="1:9">
      <c r="A23" t="s">
        <v>100</v>
      </c>
      <c r="B23" t="s">
        <v>101</v>
      </c>
      <c r="C23" t="s">
        <v>20</v>
      </c>
      <c r="D23" t="s">
        <v>21</v>
      </c>
      <c r="E23" s="1">
        <v>37877</v>
      </c>
      <c r="F23">
        <v>40</v>
      </c>
      <c r="G23" s="2">
        <v>29.435165359699</v>
      </c>
      <c r="H23" s="2">
        <v>1177.40661438796</v>
      </c>
      <c r="I23" t="s">
        <v>15</v>
      </c>
    </row>
    <row r="24" spans="1:9">
      <c r="A24" t="s">
        <v>104</v>
      </c>
      <c r="B24" t="s">
        <v>105</v>
      </c>
      <c r="C24" t="s">
        <v>20</v>
      </c>
      <c r="D24" t="s">
        <v>21</v>
      </c>
      <c r="E24" s="1">
        <v>37779</v>
      </c>
      <c r="F24">
        <v>40</v>
      </c>
      <c r="G24" s="2">
        <v>28.5585427782549</v>
      </c>
      <c r="H24" s="2">
        <v>1142.3417111302</v>
      </c>
      <c r="I24" t="s">
        <v>15</v>
      </c>
    </row>
    <row r="25" spans="1:9">
      <c r="A25" t="s">
        <v>108</v>
      </c>
      <c r="B25" t="s">
        <v>109</v>
      </c>
      <c r="C25" t="s">
        <v>13</v>
      </c>
      <c r="D25" t="s">
        <v>21</v>
      </c>
      <c r="E25" s="1">
        <v>40611</v>
      </c>
      <c r="F25">
        <v>35</v>
      </c>
      <c r="G25" s="2">
        <v>21.3408234410477</v>
      </c>
      <c r="H25" s="2">
        <v>746.928820436669</v>
      </c>
      <c r="I25" t="s">
        <v>22</v>
      </c>
    </row>
    <row r="26" spans="1:9">
      <c r="A26" t="s">
        <v>112</v>
      </c>
      <c r="B26" t="s">
        <v>113</v>
      </c>
      <c r="C26" t="s">
        <v>13</v>
      </c>
      <c r="D26" t="s">
        <v>21</v>
      </c>
      <c r="E26" s="1">
        <v>38808</v>
      </c>
      <c r="F26">
        <v>25</v>
      </c>
      <c r="G26" s="2">
        <v>26.7983252095194</v>
      </c>
      <c r="H26" s="2">
        <v>669.958130237985</v>
      </c>
      <c r="I26" t="s">
        <v>22</v>
      </c>
    </row>
    <row r="27" spans="1:9">
      <c r="A27" t="s">
        <v>116</v>
      </c>
      <c r="B27" t="s">
        <v>117</v>
      </c>
      <c r="C27" t="s">
        <v>20</v>
      </c>
      <c r="D27" t="s">
        <v>21</v>
      </c>
      <c r="E27" s="1">
        <v>39807</v>
      </c>
      <c r="F27">
        <v>32</v>
      </c>
      <c r="G27" s="2">
        <v>29.9348706756959</v>
      </c>
      <c r="H27" s="2">
        <v>957.915861622268</v>
      </c>
      <c r="I27" t="s">
        <v>22</v>
      </c>
    </row>
    <row r="28" spans="1:9">
      <c r="A28" t="s">
        <v>120</v>
      </c>
      <c r="B28" t="s">
        <v>121</v>
      </c>
      <c r="C28" t="s">
        <v>20</v>
      </c>
      <c r="D28" t="s">
        <v>51</v>
      </c>
      <c r="E28" s="1">
        <v>39233</v>
      </c>
      <c r="F28">
        <v>35</v>
      </c>
      <c r="G28" s="2">
        <v>22.5344105761657</v>
      </c>
      <c r="H28" s="2">
        <v>788.704370165799</v>
      </c>
      <c r="I28" t="s">
        <v>22</v>
      </c>
    </row>
    <row r="29" spans="1:9">
      <c r="A29" t="s">
        <v>124</v>
      </c>
      <c r="B29" t="s">
        <v>125</v>
      </c>
      <c r="C29" t="s">
        <v>20</v>
      </c>
      <c r="D29" t="s">
        <v>59</v>
      </c>
      <c r="E29" s="1">
        <v>40155</v>
      </c>
      <c r="F29">
        <v>25</v>
      </c>
      <c r="G29" s="2">
        <v>22.0288511044065</v>
      </c>
      <c r="H29" s="2">
        <v>550.721277610162</v>
      </c>
      <c r="I29" t="s">
        <v>22</v>
      </c>
    </row>
    <row r="30" spans="1:9">
      <c r="A30" t="s">
        <v>128</v>
      </c>
      <c r="B30" t="s">
        <v>129</v>
      </c>
      <c r="C30" t="s">
        <v>20</v>
      </c>
      <c r="D30" t="s">
        <v>51</v>
      </c>
      <c r="E30" s="1">
        <v>38263</v>
      </c>
      <c r="F30">
        <v>40</v>
      </c>
      <c r="G30" s="2">
        <v>22.224435083452</v>
      </c>
      <c r="H30" s="2">
        <v>888.977403338081</v>
      </c>
      <c r="I30" t="s">
        <v>15</v>
      </c>
    </row>
    <row r="31" spans="1:9">
      <c r="A31" t="s">
        <v>132</v>
      </c>
      <c r="B31" t="s">
        <v>133</v>
      </c>
      <c r="C31" t="s">
        <v>27</v>
      </c>
      <c r="D31" t="s">
        <v>14</v>
      </c>
      <c r="E31" s="1">
        <v>39414</v>
      </c>
      <c r="F31">
        <v>35.5</v>
      </c>
      <c r="G31" s="2">
        <v>24.0440594640406</v>
      </c>
      <c r="H31" s="2">
        <v>853.56411097344</v>
      </c>
      <c r="I31" t="s">
        <v>22</v>
      </c>
    </row>
    <row r="32" spans="1:9">
      <c r="A32" t="s">
        <v>136</v>
      </c>
      <c r="B32" t="s">
        <v>137</v>
      </c>
      <c r="C32" t="s">
        <v>27</v>
      </c>
      <c r="D32" t="s">
        <v>21</v>
      </c>
      <c r="E32" s="1">
        <v>39831</v>
      </c>
      <c r="F32">
        <v>29.5</v>
      </c>
      <c r="G32" s="2">
        <v>27.9270088695213</v>
      </c>
      <c r="H32" s="2">
        <v>823.846761650878</v>
      </c>
      <c r="I32" t="s">
        <v>22</v>
      </c>
    </row>
    <row r="33" spans="1:9">
      <c r="A33" t="s">
        <v>140</v>
      </c>
      <c r="B33" t="s">
        <v>141</v>
      </c>
      <c r="C33" t="s">
        <v>13</v>
      </c>
      <c r="D33" t="s">
        <v>59</v>
      </c>
      <c r="E33" s="1">
        <v>38474</v>
      </c>
      <c r="F33">
        <v>40</v>
      </c>
      <c r="G33" s="2">
        <v>25.3218774491568</v>
      </c>
      <c r="H33" s="2">
        <v>1012.87509796627</v>
      </c>
      <c r="I33" t="s">
        <v>15</v>
      </c>
    </row>
    <row r="34" spans="1:9">
      <c r="A34" t="s">
        <v>144</v>
      </c>
      <c r="B34" t="s">
        <v>145</v>
      </c>
      <c r="C34" t="s">
        <v>13</v>
      </c>
      <c r="D34" t="s">
        <v>59</v>
      </c>
      <c r="E34" s="1">
        <v>40205</v>
      </c>
      <c r="F34">
        <v>35.5</v>
      </c>
      <c r="G34" s="2">
        <v>22.0416278412084</v>
      </c>
      <c r="H34" s="2">
        <v>782.477788362898</v>
      </c>
      <c r="I34" t="s">
        <v>22</v>
      </c>
    </row>
    <row r="35" spans="1:9">
      <c r="A35" t="s">
        <v>148</v>
      </c>
      <c r="B35" t="s">
        <v>149</v>
      </c>
      <c r="C35" t="s">
        <v>20</v>
      </c>
      <c r="D35" t="s">
        <v>59</v>
      </c>
      <c r="E35" s="1">
        <v>39053</v>
      </c>
      <c r="F35">
        <v>32</v>
      </c>
      <c r="G35" s="2">
        <v>20.9360592580624</v>
      </c>
      <c r="H35" s="2">
        <v>669.953896257996</v>
      </c>
      <c r="I35" t="s">
        <v>22</v>
      </c>
    </row>
    <row r="36" spans="1:9">
      <c r="A36" t="s">
        <v>152</v>
      </c>
      <c r="B36" t="s">
        <v>153</v>
      </c>
      <c r="C36" t="s">
        <v>27</v>
      </c>
      <c r="D36" t="s">
        <v>14</v>
      </c>
      <c r="E36" s="1">
        <v>38914</v>
      </c>
      <c r="F36">
        <v>35.5</v>
      </c>
      <c r="G36" s="2">
        <v>23.7804724680972</v>
      </c>
      <c r="H36" s="2">
        <v>844.206772617451</v>
      </c>
      <c r="I36" t="s">
        <v>22</v>
      </c>
    </row>
    <row r="37" spans="1:9">
      <c r="A37" t="s">
        <v>156</v>
      </c>
      <c r="B37" t="s">
        <v>157</v>
      </c>
      <c r="C37" t="s">
        <v>20</v>
      </c>
      <c r="D37" t="s">
        <v>59</v>
      </c>
      <c r="E37" s="1">
        <v>38727</v>
      </c>
      <c r="F37">
        <v>35</v>
      </c>
      <c r="G37" s="2">
        <v>26.870973454107</v>
      </c>
      <c r="H37" s="2">
        <v>940.484070893745</v>
      </c>
      <c r="I37" t="s">
        <v>22</v>
      </c>
    </row>
    <row r="38" spans="1:9">
      <c r="A38" t="s">
        <v>160</v>
      </c>
      <c r="B38" t="s">
        <v>161</v>
      </c>
      <c r="C38" t="s">
        <v>27</v>
      </c>
      <c r="D38" t="s">
        <v>14</v>
      </c>
      <c r="E38" s="1">
        <v>38659</v>
      </c>
      <c r="F38">
        <v>40</v>
      </c>
      <c r="G38" s="2">
        <v>28.0351807192208</v>
      </c>
      <c r="H38" s="2">
        <v>1121.40722876883</v>
      </c>
      <c r="I38" t="s">
        <v>15</v>
      </c>
    </row>
    <row r="39" spans="1:9">
      <c r="A39" t="s">
        <v>164</v>
      </c>
      <c r="B39" t="s">
        <v>165</v>
      </c>
      <c r="C39" t="s">
        <v>20</v>
      </c>
      <c r="D39" t="s">
        <v>51</v>
      </c>
      <c r="E39" s="1">
        <v>39430</v>
      </c>
      <c r="F39">
        <v>40</v>
      </c>
      <c r="G39" s="2">
        <v>22.0025822256507</v>
      </c>
      <c r="H39" s="2">
        <v>880.10328902603</v>
      </c>
      <c r="I39" t="s">
        <v>15</v>
      </c>
    </row>
    <row r="40" spans="1:9">
      <c r="A40" t="s">
        <v>168</v>
      </c>
      <c r="B40" t="s">
        <v>169</v>
      </c>
      <c r="C40" t="s">
        <v>20</v>
      </c>
      <c r="D40" t="s">
        <v>14</v>
      </c>
      <c r="E40" s="1">
        <v>38026</v>
      </c>
      <c r="F40">
        <v>40</v>
      </c>
      <c r="G40" s="2">
        <v>24.209926541516</v>
      </c>
      <c r="H40" s="2">
        <v>968.397061660642</v>
      </c>
      <c r="I40" t="s">
        <v>15</v>
      </c>
    </row>
    <row r="41" spans="1:9">
      <c r="A41" t="s">
        <v>172</v>
      </c>
      <c r="B41" t="s">
        <v>173</v>
      </c>
      <c r="C41" t="s">
        <v>20</v>
      </c>
      <c r="D41" t="s">
        <v>51</v>
      </c>
      <c r="E41" s="1">
        <v>39575</v>
      </c>
      <c r="F41">
        <v>40</v>
      </c>
      <c r="G41" s="2">
        <v>26.4166446930878</v>
      </c>
      <c r="H41" s="2">
        <v>1056.66578772351</v>
      </c>
      <c r="I41" t="s">
        <v>15</v>
      </c>
    </row>
    <row r="42" spans="1:9">
      <c r="A42" t="s">
        <v>176</v>
      </c>
      <c r="B42" t="s">
        <v>177</v>
      </c>
      <c r="C42" t="s">
        <v>27</v>
      </c>
      <c r="D42" t="s">
        <v>59</v>
      </c>
      <c r="E42" s="1">
        <v>38989</v>
      </c>
      <c r="F42">
        <v>40</v>
      </c>
      <c r="G42" s="2">
        <v>26.1563408101695</v>
      </c>
      <c r="H42" s="2">
        <v>1046.25363240678</v>
      </c>
      <c r="I42" t="s">
        <v>15</v>
      </c>
    </row>
    <row r="43" spans="1:9">
      <c r="A43" t="s">
        <v>180</v>
      </c>
      <c r="B43" t="s">
        <v>181</v>
      </c>
      <c r="C43" t="s">
        <v>27</v>
      </c>
      <c r="D43" t="s">
        <v>59</v>
      </c>
      <c r="E43" s="1">
        <v>40127</v>
      </c>
      <c r="F43">
        <v>40</v>
      </c>
      <c r="G43" s="2">
        <v>28.8001607672559</v>
      </c>
      <c r="H43" s="2">
        <v>1152.00643069023</v>
      </c>
      <c r="I43" t="s">
        <v>15</v>
      </c>
    </row>
    <row r="44" spans="1:9">
      <c r="A44" t="s">
        <v>184</v>
      </c>
      <c r="B44" t="s">
        <v>185</v>
      </c>
      <c r="C44" t="s">
        <v>27</v>
      </c>
      <c r="D44" t="s">
        <v>14</v>
      </c>
      <c r="E44" s="1">
        <v>39070</v>
      </c>
      <c r="F44">
        <v>35.5</v>
      </c>
      <c r="G44" s="2">
        <v>24.7005037048751</v>
      </c>
      <c r="H44" s="2">
        <v>876.867881523066</v>
      </c>
      <c r="I44" t="s">
        <v>22</v>
      </c>
    </row>
    <row r="45" spans="1:9">
      <c r="A45" t="s">
        <v>187</v>
      </c>
      <c r="B45" t="s">
        <v>188</v>
      </c>
      <c r="C45" t="s">
        <v>36</v>
      </c>
      <c r="D45" t="s">
        <v>21</v>
      </c>
      <c r="E45" s="1">
        <v>39251</v>
      </c>
      <c r="F45">
        <v>40</v>
      </c>
      <c r="G45" s="2">
        <v>24.7208809045488</v>
      </c>
      <c r="H45" s="2">
        <v>988.835236181952</v>
      </c>
      <c r="I45" t="s">
        <v>15</v>
      </c>
    </row>
    <row r="46" spans="1:9">
      <c r="A46" t="s">
        <v>190</v>
      </c>
      <c r="B46" t="s">
        <v>191</v>
      </c>
      <c r="C46" t="s">
        <v>36</v>
      </c>
      <c r="D46" t="s">
        <v>14</v>
      </c>
      <c r="E46" s="1">
        <v>39925</v>
      </c>
      <c r="F46">
        <v>15.5</v>
      </c>
      <c r="G46" s="2">
        <v>22.0461359567629</v>
      </c>
      <c r="H46" s="2">
        <v>341.715107329824</v>
      </c>
      <c r="I46" t="s">
        <v>22</v>
      </c>
    </row>
    <row r="47" spans="1:9">
      <c r="A47" t="s">
        <v>193</v>
      </c>
      <c r="B47" t="s">
        <v>194</v>
      </c>
      <c r="C47" t="s">
        <v>20</v>
      </c>
      <c r="D47" t="s">
        <v>59</v>
      </c>
      <c r="E47" s="1">
        <v>39226</v>
      </c>
      <c r="F47">
        <v>25</v>
      </c>
      <c r="G47" s="2">
        <v>29.0167556854929</v>
      </c>
      <c r="H47" s="2">
        <v>725.418892137322</v>
      </c>
      <c r="I47" t="s">
        <v>22</v>
      </c>
    </row>
    <row r="48" spans="1:9">
      <c r="A48" t="s">
        <v>196</v>
      </c>
      <c r="B48" t="s">
        <v>197</v>
      </c>
      <c r="C48" t="s">
        <v>36</v>
      </c>
      <c r="D48" t="s">
        <v>14</v>
      </c>
      <c r="E48" s="1">
        <v>40561</v>
      </c>
      <c r="F48">
        <v>40</v>
      </c>
      <c r="G48" s="2">
        <v>27.3588677466791</v>
      </c>
      <c r="H48" s="2">
        <v>1094.35470986716</v>
      </c>
      <c r="I48" t="s">
        <v>15</v>
      </c>
    </row>
    <row r="49" spans="1:9">
      <c r="A49" t="s">
        <v>198</v>
      </c>
      <c r="B49" t="s">
        <v>199</v>
      </c>
      <c r="C49" t="s">
        <v>36</v>
      </c>
      <c r="D49" t="s">
        <v>14</v>
      </c>
      <c r="E49" s="1">
        <v>38080</v>
      </c>
      <c r="F49">
        <v>40</v>
      </c>
      <c r="G49" s="2">
        <v>23.5591787626696</v>
      </c>
      <c r="H49" s="2">
        <v>942.367150506783</v>
      </c>
      <c r="I49" t="s">
        <v>15</v>
      </c>
    </row>
    <row r="50" spans="1:9">
      <c r="A50" t="s">
        <v>200</v>
      </c>
      <c r="B50" t="s">
        <v>201</v>
      </c>
      <c r="C50" t="s">
        <v>13</v>
      </c>
      <c r="D50" t="s">
        <v>59</v>
      </c>
      <c r="E50" s="1">
        <v>37784</v>
      </c>
      <c r="F50">
        <v>38</v>
      </c>
      <c r="G50" s="2">
        <v>25.8959240312466</v>
      </c>
      <c r="H50" s="2">
        <v>984.04511318737</v>
      </c>
      <c r="I50" t="s">
        <v>22</v>
      </c>
    </row>
    <row r="51" spans="1:9">
      <c r="A51" t="s">
        <v>202</v>
      </c>
      <c r="B51" t="s">
        <v>203</v>
      </c>
      <c r="C51" t="s">
        <v>20</v>
      </c>
      <c r="D51" t="s">
        <v>51</v>
      </c>
      <c r="E51" s="1">
        <v>40135</v>
      </c>
      <c r="F51">
        <v>40</v>
      </c>
      <c r="G51" s="2">
        <v>23.7440482448647</v>
      </c>
      <c r="H51" s="2">
        <v>949.761929794589</v>
      </c>
      <c r="I51" t="s">
        <v>15</v>
      </c>
    </row>
    <row r="52" spans="1:9">
      <c r="A52" t="s">
        <v>204</v>
      </c>
      <c r="B52" t="s">
        <v>205</v>
      </c>
      <c r="C52" t="s">
        <v>20</v>
      </c>
      <c r="D52" t="s">
        <v>59</v>
      </c>
      <c r="E52" s="1">
        <v>38851</v>
      </c>
      <c r="F52">
        <v>40</v>
      </c>
      <c r="G52" s="2">
        <v>22.1172203389426</v>
      </c>
      <c r="H52" s="2">
        <v>884.688813557704</v>
      </c>
      <c r="I52" t="s">
        <v>15</v>
      </c>
    </row>
    <row r="53" spans="1:9">
      <c r="A53" t="s">
        <v>206</v>
      </c>
      <c r="B53" t="s">
        <v>207</v>
      </c>
      <c r="C53" t="s">
        <v>20</v>
      </c>
      <c r="D53" t="s">
        <v>21</v>
      </c>
      <c r="E53" s="1">
        <v>38995</v>
      </c>
      <c r="F53">
        <v>40</v>
      </c>
      <c r="G53" s="2">
        <v>28.5041873925272</v>
      </c>
      <c r="H53" s="2">
        <v>1140.16749570109</v>
      </c>
      <c r="I53" t="s">
        <v>15</v>
      </c>
    </row>
    <row r="54" spans="1:9">
      <c r="A54" t="s">
        <v>208</v>
      </c>
      <c r="B54" t="s">
        <v>209</v>
      </c>
      <c r="C54" t="s">
        <v>27</v>
      </c>
      <c r="D54" t="s">
        <v>59</v>
      </c>
      <c r="E54" s="1">
        <v>37439</v>
      </c>
      <c r="F54">
        <v>40</v>
      </c>
      <c r="G54" s="2">
        <v>23.8861934229302</v>
      </c>
      <c r="H54" s="2">
        <v>955.447736917208</v>
      </c>
      <c r="I54" t="s">
        <v>15</v>
      </c>
    </row>
    <row r="55" spans="1:9">
      <c r="A55" t="s">
        <v>210</v>
      </c>
      <c r="B55" t="s">
        <v>211</v>
      </c>
      <c r="C55" t="s">
        <v>13</v>
      </c>
      <c r="D55" t="s">
        <v>51</v>
      </c>
      <c r="E55" s="1">
        <v>40601</v>
      </c>
      <c r="F55">
        <v>40</v>
      </c>
      <c r="G55" s="2">
        <v>24.4318025315317</v>
      </c>
      <c r="H55" s="2">
        <v>977.272101261268</v>
      </c>
      <c r="I55" t="s">
        <v>15</v>
      </c>
    </row>
    <row r="56" spans="1:9">
      <c r="A56" t="s">
        <v>212</v>
      </c>
      <c r="B56" t="s">
        <v>213</v>
      </c>
      <c r="C56" t="s">
        <v>27</v>
      </c>
      <c r="D56" t="s">
        <v>21</v>
      </c>
      <c r="E56" s="1">
        <v>36264</v>
      </c>
      <c r="F56">
        <v>40</v>
      </c>
      <c r="G56" s="2">
        <v>24.3651867901812</v>
      </c>
      <c r="H56" s="2">
        <v>974.607471607247</v>
      </c>
      <c r="I56" t="s">
        <v>15</v>
      </c>
    </row>
    <row r="57" spans="1:9">
      <c r="A57" t="s">
        <v>214</v>
      </c>
      <c r="B57" t="s">
        <v>215</v>
      </c>
      <c r="C57" t="s">
        <v>20</v>
      </c>
      <c r="D57" t="s">
        <v>14</v>
      </c>
      <c r="E57" s="1">
        <v>39238</v>
      </c>
      <c r="F57">
        <v>40</v>
      </c>
      <c r="G57" s="2">
        <v>26.7929940105714</v>
      </c>
      <c r="H57" s="2">
        <v>1071.71976042286</v>
      </c>
      <c r="I57" t="s">
        <v>15</v>
      </c>
    </row>
    <row r="58" spans="1:9">
      <c r="A58" t="s">
        <v>216</v>
      </c>
      <c r="B58" t="s">
        <v>217</v>
      </c>
      <c r="C58" t="s">
        <v>13</v>
      </c>
      <c r="D58" t="s">
        <v>59</v>
      </c>
      <c r="E58" s="1">
        <v>40754</v>
      </c>
      <c r="F58">
        <v>32</v>
      </c>
      <c r="G58" s="2">
        <v>26.9521621799409</v>
      </c>
      <c r="H58" s="2">
        <v>862.46918975811</v>
      </c>
      <c r="I58" t="s">
        <v>22</v>
      </c>
    </row>
    <row r="59" spans="1:9">
      <c r="A59" t="s">
        <v>218</v>
      </c>
      <c r="B59" t="s">
        <v>219</v>
      </c>
      <c r="C59" t="s">
        <v>36</v>
      </c>
      <c r="D59" t="s">
        <v>14</v>
      </c>
      <c r="E59" s="1">
        <v>39138</v>
      </c>
      <c r="F59">
        <v>15.5</v>
      </c>
      <c r="G59" s="2">
        <v>26.3802017837466</v>
      </c>
      <c r="H59" s="2">
        <v>408.893127648072</v>
      </c>
      <c r="I59" t="s">
        <v>22</v>
      </c>
    </row>
    <row r="60" spans="1:9">
      <c r="A60" t="s">
        <v>220</v>
      </c>
      <c r="B60" t="s">
        <v>221</v>
      </c>
      <c r="C60" t="s">
        <v>36</v>
      </c>
      <c r="D60" t="s">
        <v>14</v>
      </c>
      <c r="E60" s="1">
        <v>38217</v>
      </c>
      <c r="F60">
        <v>40</v>
      </c>
      <c r="G60" s="2">
        <v>29.4332293587101</v>
      </c>
      <c r="H60" s="2">
        <v>1177.32917434841</v>
      </c>
      <c r="I60" t="s">
        <v>15</v>
      </c>
    </row>
    <row r="61" spans="1:9">
      <c r="A61" t="s">
        <v>222</v>
      </c>
      <c r="B61" t="s">
        <v>223</v>
      </c>
      <c r="C61" t="s">
        <v>27</v>
      </c>
      <c r="D61" t="s">
        <v>21</v>
      </c>
      <c r="E61" s="1">
        <v>39378</v>
      </c>
      <c r="F61">
        <v>40</v>
      </c>
      <c r="G61" s="2">
        <v>22.9135978775507</v>
      </c>
      <c r="H61" s="2">
        <v>916.54391510203</v>
      </c>
      <c r="I61" t="s">
        <v>15</v>
      </c>
    </row>
    <row r="62" spans="1:9">
      <c r="A62" t="s">
        <v>224</v>
      </c>
      <c r="B62" t="s">
        <v>225</v>
      </c>
      <c r="C62" t="s">
        <v>27</v>
      </c>
      <c r="D62" t="s">
        <v>14</v>
      </c>
      <c r="E62" s="1">
        <v>41968</v>
      </c>
      <c r="F62">
        <v>40</v>
      </c>
      <c r="G62" s="2">
        <v>21.063510642513</v>
      </c>
      <c r="H62" s="2">
        <v>842.540425700521</v>
      </c>
      <c r="I62" t="s">
        <v>15</v>
      </c>
    </row>
    <row r="63" spans="1:9">
      <c r="A63" t="s">
        <v>226</v>
      </c>
      <c r="B63" t="s">
        <v>227</v>
      </c>
      <c r="C63" t="s">
        <v>20</v>
      </c>
      <c r="D63" t="s">
        <v>14</v>
      </c>
      <c r="E63" s="1">
        <v>40397</v>
      </c>
      <c r="F63">
        <v>35</v>
      </c>
      <c r="G63" s="2">
        <v>26.1930616475145</v>
      </c>
      <c r="H63" s="2">
        <v>916.757157663007</v>
      </c>
      <c r="I63" t="s">
        <v>22</v>
      </c>
    </row>
    <row r="64" spans="1:9">
      <c r="A64" t="s">
        <v>228</v>
      </c>
      <c r="B64" t="s">
        <v>229</v>
      </c>
      <c r="C64" t="s">
        <v>13</v>
      </c>
      <c r="D64" t="s">
        <v>14</v>
      </c>
      <c r="E64" s="1">
        <v>38068</v>
      </c>
      <c r="F64">
        <v>35.5</v>
      </c>
      <c r="G64" s="2">
        <v>26.441106244959</v>
      </c>
      <c r="H64" s="2">
        <v>938.659271696046</v>
      </c>
      <c r="I64" t="s">
        <v>22</v>
      </c>
    </row>
    <row r="65" spans="1:9">
      <c r="A65" t="s">
        <v>230</v>
      </c>
      <c r="B65" t="s">
        <v>231</v>
      </c>
      <c r="C65" t="s">
        <v>13</v>
      </c>
      <c r="D65" t="s">
        <v>51</v>
      </c>
      <c r="E65" s="1">
        <v>38211</v>
      </c>
      <c r="F65">
        <v>32</v>
      </c>
      <c r="G65" s="2">
        <v>20.8628676904625</v>
      </c>
      <c r="H65" s="2">
        <v>667.6117660948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236</v>
      </c>
      <c r="B68" t="s">
        <v>237</v>
      </c>
      <c r="C68" t="s">
        <v>27</v>
      </c>
      <c r="D68" t="s">
        <v>59</v>
      </c>
      <c r="E68" s="1">
        <v>39418</v>
      </c>
      <c r="F68">
        <v>29.5</v>
      </c>
      <c r="G68" s="2">
        <v>27.2459372602021</v>
      </c>
      <c r="H68" s="2">
        <v>803.755149175961</v>
      </c>
      <c r="I68" t="s">
        <v>22</v>
      </c>
    </row>
    <row r="69" spans="1:9">
      <c r="A69" t="s">
        <v>238</v>
      </c>
      <c r="B69" t="s">
        <v>239</v>
      </c>
      <c r="C69" t="s">
        <v>13</v>
      </c>
      <c r="D69" t="s">
        <v>21</v>
      </c>
      <c r="E69" s="1">
        <v>40268</v>
      </c>
      <c r="F69">
        <v>32</v>
      </c>
      <c r="G69" s="2">
        <v>24.7808249198699</v>
      </c>
      <c r="H69" s="2">
        <v>792.986397435835</v>
      </c>
      <c r="I69" t="s">
        <v>22</v>
      </c>
    </row>
    <row r="70" spans="1:9">
      <c r="A70" t="s">
        <v>240</v>
      </c>
      <c r="B70" t="s">
        <v>241</v>
      </c>
      <c r="C70" t="s">
        <v>36</v>
      </c>
      <c r="D70" t="s">
        <v>21</v>
      </c>
      <c r="E70" s="1">
        <v>39770</v>
      </c>
      <c r="F70">
        <v>35</v>
      </c>
      <c r="G70" s="2">
        <v>20.9514694627171</v>
      </c>
      <c r="H70" s="2">
        <v>733.301431195098</v>
      </c>
      <c r="I70" t="s">
        <v>22</v>
      </c>
    </row>
    <row r="71" spans="1:9">
      <c r="A71" t="s">
        <v>242</v>
      </c>
      <c r="B71" t="s">
        <v>243</v>
      </c>
      <c r="C71" t="s">
        <v>27</v>
      </c>
      <c r="D71" t="s">
        <v>51</v>
      </c>
      <c r="E71" s="1">
        <v>37263</v>
      </c>
      <c r="F71">
        <v>40</v>
      </c>
      <c r="G71" s="2">
        <v>24.2132465350738</v>
      </c>
      <c r="H71" s="2">
        <v>968.529861402952</v>
      </c>
      <c r="I71" t="s">
        <v>15</v>
      </c>
    </row>
    <row r="72" spans="1:9">
      <c r="A72" t="s">
        <v>244</v>
      </c>
      <c r="B72" t="s">
        <v>245</v>
      </c>
      <c r="C72" t="s">
        <v>36</v>
      </c>
      <c r="D72" t="s">
        <v>51</v>
      </c>
      <c r="E72" s="1">
        <v>38990</v>
      </c>
      <c r="F72">
        <v>40</v>
      </c>
      <c r="G72" s="2">
        <v>26.6733350813367</v>
      </c>
      <c r="H72" s="2">
        <v>1066.93340325347</v>
      </c>
      <c r="I72" t="s">
        <v>15</v>
      </c>
    </row>
    <row r="73" spans="1:9">
      <c r="A73" t="s">
        <v>246</v>
      </c>
      <c r="B73" t="s">
        <v>247</v>
      </c>
      <c r="C73" t="s">
        <v>36</v>
      </c>
      <c r="D73" t="s">
        <v>51</v>
      </c>
      <c r="E73" s="1">
        <v>38288</v>
      </c>
      <c r="F73">
        <v>40</v>
      </c>
      <c r="G73" s="2">
        <v>23.270898653239</v>
      </c>
      <c r="H73" s="2">
        <v>930.835946129561</v>
      </c>
      <c r="I73" t="s">
        <v>15</v>
      </c>
    </row>
    <row r="74" spans="1:9">
      <c r="A74" t="s">
        <v>248</v>
      </c>
      <c r="B74" t="s">
        <v>249</v>
      </c>
      <c r="C74" t="s">
        <v>27</v>
      </c>
      <c r="D74" t="s">
        <v>51</v>
      </c>
      <c r="E74" s="1">
        <v>39752</v>
      </c>
      <c r="F74">
        <v>40</v>
      </c>
      <c r="G74" s="2">
        <v>29.6126531698801</v>
      </c>
      <c r="H74" s="2">
        <v>1184.5061267952</v>
      </c>
      <c r="I74" t="s">
        <v>15</v>
      </c>
    </row>
    <row r="75" spans="1:9">
      <c r="A75" t="s">
        <v>250</v>
      </c>
      <c r="B75" t="s">
        <v>251</v>
      </c>
      <c r="C75" t="s">
        <v>20</v>
      </c>
      <c r="D75" t="s">
        <v>59</v>
      </c>
      <c r="E75" s="1">
        <v>38029</v>
      </c>
      <c r="F75">
        <v>25</v>
      </c>
      <c r="G75" s="2">
        <v>27.1249727517577</v>
      </c>
      <c r="H75" s="2">
        <v>678.124318793942</v>
      </c>
      <c r="I75" t="s">
        <v>22</v>
      </c>
    </row>
    <row r="76" spans="1:9">
      <c r="A76" t="s">
        <v>252</v>
      </c>
      <c r="B76" t="s">
        <v>253</v>
      </c>
      <c r="C76" t="s">
        <v>13</v>
      </c>
      <c r="D76" t="s">
        <v>51</v>
      </c>
      <c r="E76" s="1">
        <v>38990</v>
      </c>
      <c r="F76">
        <v>40</v>
      </c>
      <c r="G76" s="2">
        <v>20.55570522982</v>
      </c>
      <c r="H76" s="2">
        <v>822.2282091928</v>
      </c>
      <c r="I76" t="s">
        <v>15</v>
      </c>
    </row>
    <row r="77" spans="1:9">
      <c r="A77" t="s">
        <v>254</v>
      </c>
      <c r="B77" t="s">
        <v>255</v>
      </c>
      <c r="C77" t="s">
        <v>27</v>
      </c>
      <c r="D77" t="s">
        <v>51</v>
      </c>
      <c r="E77" s="1">
        <v>40139</v>
      </c>
      <c r="F77">
        <v>42</v>
      </c>
      <c r="G77" s="2">
        <v>23.7429467910733</v>
      </c>
      <c r="H77" s="2">
        <v>997.20376522508</v>
      </c>
      <c r="I77" t="s">
        <v>15</v>
      </c>
    </row>
    <row r="78" spans="1:9">
      <c r="A78" t="s">
        <v>256</v>
      </c>
      <c r="B78" t="s">
        <v>257</v>
      </c>
      <c r="C78" t="s">
        <v>13</v>
      </c>
      <c r="D78" t="s">
        <v>14</v>
      </c>
      <c r="E78" s="1">
        <v>39601</v>
      </c>
      <c r="F78">
        <v>25</v>
      </c>
      <c r="G78" s="2">
        <v>20.6563505176776</v>
      </c>
      <c r="H78" s="2">
        <v>516.40876294194</v>
      </c>
      <c r="I78" t="s">
        <v>22</v>
      </c>
    </row>
    <row r="79" spans="1:9">
      <c r="A79" t="s">
        <v>258</v>
      </c>
      <c r="B79" t="s">
        <v>259</v>
      </c>
      <c r="C79" t="s">
        <v>20</v>
      </c>
      <c r="D79" t="s">
        <v>21</v>
      </c>
      <c r="E79" s="1">
        <v>40035</v>
      </c>
      <c r="F79">
        <v>40</v>
      </c>
      <c r="G79" s="2">
        <v>24.7613808611318</v>
      </c>
      <c r="H79" s="2">
        <v>990.455234445274</v>
      </c>
      <c r="I79" t="s">
        <v>15</v>
      </c>
    </row>
    <row r="80" spans="1:9">
      <c r="A80" t="s">
        <v>260</v>
      </c>
      <c r="B80" t="s">
        <v>261</v>
      </c>
      <c r="C80" t="s">
        <v>27</v>
      </c>
      <c r="D80" t="s">
        <v>59</v>
      </c>
      <c r="E80" s="1">
        <v>40296</v>
      </c>
      <c r="F80">
        <v>42</v>
      </c>
      <c r="G80" s="2">
        <v>21.2089102328483</v>
      </c>
      <c r="H80" s="2">
        <v>890.774229779629</v>
      </c>
      <c r="I80" t="s">
        <v>15</v>
      </c>
    </row>
    <row r="81" spans="1:9">
      <c r="A81" t="s">
        <v>262</v>
      </c>
      <c r="B81" t="s">
        <v>263</v>
      </c>
      <c r="C81" t="s">
        <v>27</v>
      </c>
      <c r="D81" t="s">
        <v>14</v>
      </c>
      <c r="E81" s="1">
        <v>36953</v>
      </c>
      <c r="F81">
        <v>40</v>
      </c>
      <c r="G81" s="2">
        <v>29.6869323887969</v>
      </c>
      <c r="H81" s="2">
        <v>1187.47729555188</v>
      </c>
      <c r="I81" t="s">
        <v>15</v>
      </c>
    </row>
    <row r="82" spans="1:9">
      <c r="A82" t="s">
        <v>264</v>
      </c>
      <c r="B82" t="s">
        <v>265</v>
      </c>
      <c r="C82" t="s">
        <v>36</v>
      </c>
      <c r="D82" t="s">
        <v>14</v>
      </c>
      <c r="E82" s="1">
        <v>36948</v>
      </c>
      <c r="F82">
        <v>15.5</v>
      </c>
      <c r="G82" s="2">
        <v>27.0324725336245</v>
      </c>
      <c r="H82" s="2">
        <v>419.003324271179</v>
      </c>
      <c r="I82" t="s">
        <v>22</v>
      </c>
    </row>
    <row r="83" spans="1:9">
      <c r="A83" t="s">
        <v>266</v>
      </c>
      <c r="B83" t="s">
        <v>267</v>
      </c>
      <c r="C83" t="s">
        <v>27</v>
      </c>
      <c r="D83" t="s">
        <v>21</v>
      </c>
      <c r="E83" s="1">
        <v>40537</v>
      </c>
      <c r="F83">
        <v>40</v>
      </c>
      <c r="G83" s="2">
        <v>23.8393078808562</v>
      </c>
      <c r="H83" s="2">
        <v>953.572315234248</v>
      </c>
      <c r="I83" t="s">
        <v>15</v>
      </c>
    </row>
    <row r="84" spans="1:9">
      <c r="A84" t="s">
        <v>268</v>
      </c>
      <c r="B84" t="s">
        <v>269</v>
      </c>
      <c r="C84" t="s">
        <v>27</v>
      </c>
      <c r="D84" t="s">
        <v>21</v>
      </c>
      <c r="E84" s="1">
        <v>40692</v>
      </c>
      <c r="F84">
        <v>29.5</v>
      </c>
      <c r="G84" s="2">
        <v>26.1711140052097</v>
      </c>
      <c r="H84" s="2">
        <v>772.047863153687</v>
      </c>
      <c r="I84" t="s">
        <v>22</v>
      </c>
    </row>
    <row r="85" spans="1:9">
      <c r="A85" t="s">
        <v>270</v>
      </c>
      <c r="B85" t="s">
        <v>271</v>
      </c>
      <c r="C85" t="s">
        <v>27</v>
      </c>
      <c r="D85" t="s">
        <v>21</v>
      </c>
      <c r="E85" s="1">
        <v>38211</v>
      </c>
      <c r="F85">
        <v>29.5</v>
      </c>
      <c r="G85" s="2">
        <v>24.9382581014963</v>
      </c>
      <c r="H85" s="2">
        <v>735.67861399414</v>
      </c>
      <c r="I85" t="s">
        <v>22</v>
      </c>
    </row>
    <row r="86" spans="1:9">
      <c r="A86" t="s">
        <v>272</v>
      </c>
      <c r="B86" t="s">
        <v>273</v>
      </c>
      <c r="C86" t="s">
        <v>36</v>
      </c>
      <c r="D86" t="s">
        <v>21</v>
      </c>
      <c r="E86" s="1">
        <v>39435</v>
      </c>
      <c r="F86">
        <v>40</v>
      </c>
      <c r="G86" s="2">
        <v>21.9331419032506</v>
      </c>
      <c r="H86" s="2">
        <v>877.325676130023</v>
      </c>
      <c r="I86" t="s">
        <v>15</v>
      </c>
    </row>
    <row r="87" spans="1:9">
      <c r="A87" t="s">
        <v>274</v>
      </c>
      <c r="B87" t="s">
        <v>275</v>
      </c>
      <c r="C87" t="s">
        <v>36</v>
      </c>
      <c r="D87" t="s">
        <v>14</v>
      </c>
      <c r="E87" s="1">
        <v>40417</v>
      </c>
      <c r="F87">
        <v>15.5</v>
      </c>
      <c r="G87" s="2">
        <v>22.2269085765447</v>
      </c>
      <c r="H87" s="2">
        <v>344.517082936443</v>
      </c>
      <c r="I87" t="s">
        <v>22</v>
      </c>
    </row>
    <row r="88" spans="1:9">
      <c r="A88" t="s">
        <v>276</v>
      </c>
      <c r="B88" t="s">
        <v>277</v>
      </c>
      <c r="C88" t="s">
        <v>36</v>
      </c>
      <c r="D88" t="s">
        <v>21</v>
      </c>
      <c r="E88" s="1">
        <v>38880</v>
      </c>
      <c r="F88">
        <v>40</v>
      </c>
      <c r="G88" s="2">
        <v>28.5121956001453</v>
      </c>
      <c r="H88" s="2">
        <v>1140.48782400581</v>
      </c>
      <c r="I88" t="s">
        <v>15</v>
      </c>
    </row>
    <row r="89" spans="1:9">
      <c r="A89" t="s">
        <v>278</v>
      </c>
      <c r="B89" t="s">
        <v>279</v>
      </c>
      <c r="C89" t="s">
        <v>20</v>
      </c>
      <c r="D89" t="s">
        <v>59</v>
      </c>
      <c r="E89" s="1">
        <v>38084</v>
      </c>
      <c r="F89">
        <v>38</v>
      </c>
      <c r="G89" s="2">
        <v>26.1580386214767</v>
      </c>
      <c r="H89" s="2">
        <v>994.005467616114</v>
      </c>
      <c r="I89" t="s">
        <v>22</v>
      </c>
    </row>
    <row r="90" spans="1:9">
      <c r="A90" t="s">
        <v>280</v>
      </c>
      <c r="B90" t="s">
        <v>281</v>
      </c>
      <c r="C90" t="s">
        <v>20</v>
      </c>
      <c r="D90" t="s">
        <v>14</v>
      </c>
      <c r="E90" s="1">
        <v>37112</v>
      </c>
      <c r="F90">
        <v>38</v>
      </c>
      <c r="G90" s="2">
        <v>29.9674239695174</v>
      </c>
      <c r="H90" s="2">
        <v>1138.76211084166</v>
      </c>
      <c r="I90" t="s">
        <v>22</v>
      </c>
    </row>
    <row r="91" spans="1:9">
      <c r="A91" t="s">
        <v>282</v>
      </c>
      <c r="B91" t="s">
        <v>283</v>
      </c>
      <c r="C91" t="s">
        <v>27</v>
      </c>
      <c r="D91" t="s">
        <v>51</v>
      </c>
      <c r="E91" s="1">
        <v>37948</v>
      </c>
      <c r="F91">
        <v>40</v>
      </c>
      <c r="G91" s="2">
        <v>25.3452862696831</v>
      </c>
      <c r="H91" s="2">
        <v>1013.81145078732</v>
      </c>
      <c r="I91" t="s">
        <v>15</v>
      </c>
    </row>
    <row r="92" spans="1:9">
      <c r="A92" t="s">
        <v>284</v>
      </c>
      <c r="B92" t="s">
        <v>285</v>
      </c>
      <c r="C92" t="s">
        <v>36</v>
      </c>
      <c r="D92" t="s">
        <v>14</v>
      </c>
      <c r="E92" s="1">
        <v>39059</v>
      </c>
      <c r="F92">
        <v>40</v>
      </c>
      <c r="G92" s="2">
        <v>25.6019372294119</v>
      </c>
      <c r="H92" s="2">
        <v>1024.07748917648</v>
      </c>
      <c r="I92" t="s">
        <v>15</v>
      </c>
    </row>
    <row r="93" spans="1:9">
      <c r="A93" t="s">
        <v>286</v>
      </c>
      <c r="B93" t="s">
        <v>287</v>
      </c>
      <c r="C93" t="s">
        <v>20</v>
      </c>
      <c r="D93" t="s">
        <v>14</v>
      </c>
      <c r="E93" s="1">
        <v>38533</v>
      </c>
      <c r="F93">
        <v>35.5</v>
      </c>
      <c r="G93" s="2">
        <v>23.9214244689799</v>
      </c>
      <c r="H93" s="2">
        <v>849.210568648788</v>
      </c>
      <c r="I93" t="s">
        <v>22</v>
      </c>
    </row>
    <row r="94" spans="1:9">
      <c r="A94" t="s">
        <v>288</v>
      </c>
      <c r="B94" t="s">
        <v>289</v>
      </c>
      <c r="C94" t="s">
        <v>36</v>
      </c>
      <c r="D94" t="s">
        <v>59</v>
      </c>
      <c r="E94" s="1">
        <v>38744</v>
      </c>
      <c r="F94">
        <v>35</v>
      </c>
      <c r="G94" s="2">
        <v>20.3208991153415</v>
      </c>
      <c r="H94" s="2">
        <v>711.231469036951</v>
      </c>
      <c r="I94" t="s">
        <v>22</v>
      </c>
    </row>
    <row r="95" spans="1:9">
      <c r="A95" t="s">
        <v>290</v>
      </c>
      <c r="B95" t="s">
        <v>291</v>
      </c>
      <c r="C95" t="s">
        <v>20</v>
      </c>
      <c r="D95" t="s">
        <v>59</v>
      </c>
      <c r="E95" s="1">
        <v>40119</v>
      </c>
      <c r="F95">
        <v>35</v>
      </c>
      <c r="G95" s="2">
        <v>27.5256373926534</v>
      </c>
      <c r="H95" s="2">
        <v>963.397308742868</v>
      </c>
      <c r="I95" t="s">
        <v>22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workbookViewId="0">
      <selection activeCell="A1" sqref="A1:I95"/>
    </sheetView>
  </sheetViews>
  <sheetFormatPr defaultColWidth="8.88888888888889" defaultRowHeight="14.4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</row>
    <row r="3" spans="1:9">
      <c r="A3" t="s">
        <v>18</v>
      </c>
      <c r="B3" t="s">
        <v>19</v>
      </c>
      <c r="C3" t="s">
        <v>20</v>
      </c>
      <c r="D3" t="s">
        <v>21</v>
      </c>
      <c r="E3" s="1">
        <v>40574</v>
      </c>
      <c r="F3">
        <v>35</v>
      </c>
      <c r="G3" s="2">
        <v>27.7308540634317</v>
      </c>
      <c r="H3" s="2">
        <v>970.57989222011</v>
      </c>
      <c r="I3" t="s">
        <v>22</v>
      </c>
    </row>
    <row r="4" spans="1:9">
      <c r="A4" t="s">
        <v>25</v>
      </c>
      <c r="B4" t="s">
        <v>26</v>
      </c>
      <c r="C4" t="s">
        <v>27</v>
      </c>
      <c r="D4" t="s">
        <v>14</v>
      </c>
      <c r="E4" s="1">
        <v>39089</v>
      </c>
      <c r="F4">
        <v>42</v>
      </c>
      <c r="G4" s="2">
        <v>23.2385457007659</v>
      </c>
      <c r="H4" s="2">
        <v>976.018919432168</v>
      </c>
      <c r="I4" t="s">
        <v>15</v>
      </c>
    </row>
    <row r="5" spans="1:9">
      <c r="A5" t="s">
        <v>30</v>
      </c>
      <c r="B5" t="s">
        <v>31</v>
      </c>
      <c r="C5" t="s">
        <v>20</v>
      </c>
      <c r="D5" t="s">
        <v>14</v>
      </c>
      <c r="E5" s="1">
        <v>40095</v>
      </c>
      <c r="F5">
        <v>40</v>
      </c>
      <c r="G5" s="2">
        <v>29.6040358356933</v>
      </c>
      <c r="H5" s="2">
        <v>1184.16143342773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14</v>
      </c>
      <c r="E6" s="1">
        <v>38863</v>
      </c>
      <c r="F6">
        <v>40</v>
      </c>
      <c r="G6" s="2">
        <v>20.2945957445476</v>
      </c>
      <c r="H6" s="2">
        <v>811.783829781904</v>
      </c>
      <c r="I6" t="s">
        <v>15</v>
      </c>
    </row>
    <row r="7" spans="1:9">
      <c r="A7" t="s">
        <v>38</v>
      </c>
      <c r="B7" t="s">
        <v>39</v>
      </c>
      <c r="C7" t="s">
        <v>27</v>
      </c>
      <c r="D7" t="s">
        <v>21</v>
      </c>
      <c r="E7" s="1">
        <v>39329</v>
      </c>
      <c r="F7">
        <v>29.5</v>
      </c>
      <c r="G7" s="2">
        <v>22.5040616496157</v>
      </c>
      <c r="H7" s="2">
        <v>663.869818663664</v>
      </c>
      <c r="I7" t="s">
        <v>22</v>
      </c>
    </row>
    <row r="8" spans="1:9">
      <c r="A8" t="s">
        <v>42</v>
      </c>
      <c r="B8" t="s">
        <v>43</v>
      </c>
      <c r="C8" t="s">
        <v>27</v>
      </c>
      <c r="D8" t="s">
        <v>14</v>
      </c>
      <c r="E8" s="1">
        <v>38372</v>
      </c>
      <c r="F8">
        <v>35.5</v>
      </c>
      <c r="G8" s="2">
        <v>23.7146915473977</v>
      </c>
      <c r="H8" s="2">
        <v>841.87154993262</v>
      </c>
      <c r="I8" t="s">
        <v>22</v>
      </c>
    </row>
    <row r="9" spans="1:9">
      <c r="A9" t="s">
        <v>46</v>
      </c>
      <c r="B9" t="s">
        <v>47</v>
      </c>
      <c r="C9" t="s">
        <v>27</v>
      </c>
      <c r="D9" t="s">
        <v>21</v>
      </c>
      <c r="E9" s="1">
        <v>37721</v>
      </c>
      <c r="F9">
        <v>40</v>
      </c>
      <c r="G9" s="2">
        <v>24.6342558337354</v>
      </c>
      <c r="H9" s="2">
        <v>985.370233349417</v>
      </c>
      <c r="I9" t="s">
        <v>15</v>
      </c>
    </row>
    <row r="10" spans="1:9">
      <c r="A10" t="s">
        <v>49</v>
      </c>
      <c r="B10" t="s">
        <v>50</v>
      </c>
      <c r="C10" t="s">
        <v>36</v>
      </c>
      <c r="D10" t="s">
        <v>51</v>
      </c>
      <c r="E10" s="1">
        <v>38014</v>
      </c>
      <c r="F10">
        <v>40</v>
      </c>
      <c r="G10" s="2">
        <v>24.0625161257531</v>
      </c>
      <c r="H10" s="2">
        <v>962.500645030123</v>
      </c>
      <c r="I10" t="s">
        <v>15</v>
      </c>
    </row>
    <row r="11" spans="1:9">
      <c r="A11" t="s">
        <v>54</v>
      </c>
      <c r="B11" t="s">
        <v>55</v>
      </c>
      <c r="C11" t="s">
        <v>27</v>
      </c>
      <c r="D11" t="s">
        <v>14</v>
      </c>
      <c r="E11" s="1">
        <v>39406</v>
      </c>
      <c r="F11">
        <v>35.5</v>
      </c>
      <c r="G11" s="2">
        <v>22.4745266505368</v>
      </c>
      <c r="H11" s="2">
        <v>797.845696094057</v>
      </c>
      <c r="I11" t="s">
        <v>22</v>
      </c>
    </row>
    <row r="12" spans="1:9">
      <c r="A12" t="s">
        <v>57</v>
      </c>
      <c r="B12" t="s">
        <v>58</v>
      </c>
      <c r="C12" t="s">
        <v>36</v>
      </c>
      <c r="D12" t="s">
        <v>59</v>
      </c>
      <c r="E12" s="1">
        <v>40636</v>
      </c>
      <c r="F12">
        <v>40</v>
      </c>
      <c r="G12" s="2">
        <v>26.2274469754406</v>
      </c>
      <c r="H12" s="2">
        <v>1049.09787901763</v>
      </c>
      <c r="I12" t="s">
        <v>15</v>
      </c>
    </row>
    <row r="13" spans="1:9">
      <c r="A13" t="s">
        <v>62</v>
      </c>
      <c r="B13" t="s">
        <v>63</v>
      </c>
      <c r="C13" t="s">
        <v>36</v>
      </c>
      <c r="D13" t="s">
        <v>59</v>
      </c>
      <c r="E13" s="1">
        <v>37299</v>
      </c>
      <c r="F13">
        <v>40</v>
      </c>
      <c r="G13" s="2">
        <v>20.4595521381667</v>
      </c>
      <c r="H13" s="2">
        <v>818.382085526669</v>
      </c>
      <c r="I13" t="s">
        <v>15</v>
      </c>
    </row>
    <row r="14" spans="1:9">
      <c r="A14" t="s">
        <v>65</v>
      </c>
      <c r="B14" t="s">
        <v>66</v>
      </c>
      <c r="C14" t="s">
        <v>36</v>
      </c>
      <c r="D14" t="s">
        <v>14</v>
      </c>
      <c r="E14" s="1">
        <v>39601</v>
      </c>
      <c r="F14">
        <v>40</v>
      </c>
      <c r="G14" s="2">
        <v>20.3846080101342</v>
      </c>
      <c r="H14" s="2">
        <v>815.384320405368</v>
      </c>
      <c r="I14" t="s">
        <v>15</v>
      </c>
    </row>
    <row r="15" spans="1:9">
      <c r="A15" t="s">
        <v>69</v>
      </c>
      <c r="B15" t="s">
        <v>70</v>
      </c>
      <c r="C15" t="s">
        <v>36</v>
      </c>
      <c r="D15" t="s">
        <v>59</v>
      </c>
      <c r="E15" s="1">
        <v>39051</v>
      </c>
      <c r="F15">
        <v>15.5</v>
      </c>
      <c r="G15" s="2">
        <v>23.8590814253866</v>
      </c>
      <c r="H15" s="2">
        <v>369.815762093492</v>
      </c>
      <c r="I15" t="s">
        <v>22</v>
      </c>
    </row>
    <row r="16" spans="1:9">
      <c r="A16" t="s">
        <v>72</v>
      </c>
      <c r="B16" t="s">
        <v>73</v>
      </c>
      <c r="C16" t="s">
        <v>13</v>
      </c>
      <c r="D16" t="s">
        <v>59</v>
      </c>
      <c r="E16" s="1">
        <v>39223</v>
      </c>
      <c r="F16">
        <v>38</v>
      </c>
      <c r="G16" s="2">
        <v>26.2234936764226</v>
      </c>
      <c r="H16" s="2">
        <v>996.49275970406</v>
      </c>
      <c r="I16" t="s">
        <v>22</v>
      </c>
    </row>
    <row r="17" spans="1:9">
      <c r="A17" t="s">
        <v>76</v>
      </c>
      <c r="B17" t="s">
        <v>77</v>
      </c>
      <c r="C17" t="s">
        <v>20</v>
      </c>
      <c r="D17" t="s">
        <v>59</v>
      </c>
      <c r="E17" s="1">
        <v>39259</v>
      </c>
      <c r="F17">
        <v>40</v>
      </c>
      <c r="G17" s="2">
        <v>24.122312108731</v>
      </c>
      <c r="H17" s="2">
        <v>964.89248434924</v>
      </c>
      <c r="I17" t="s">
        <v>15</v>
      </c>
    </row>
    <row r="18" spans="1:9">
      <c r="A18" t="s">
        <v>80</v>
      </c>
      <c r="B18" t="s">
        <v>81</v>
      </c>
      <c r="C18" t="s">
        <v>27</v>
      </c>
      <c r="D18" t="s">
        <v>14</v>
      </c>
      <c r="E18" s="1">
        <v>40108</v>
      </c>
      <c r="F18">
        <v>40</v>
      </c>
      <c r="G18" s="2">
        <v>27.4278911367849</v>
      </c>
      <c r="H18" s="2">
        <v>1097.11564547139</v>
      </c>
      <c r="I18" t="s">
        <v>15</v>
      </c>
    </row>
    <row r="19" spans="1:9">
      <c r="A19" t="s">
        <v>84</v>
      </c>
      <c r="B19" t="s">
        <v>85</v>
      </c>
      <c r="C19" t="s">
        <v>13</v>
      </c>
      <c r="D19" t="s">
        <v>14</v>
      </c>
      <c r="E19" s="1">
        <v>39865</v>
      </c>
      <c r="F19">
        <v>35</v>
      </c>
      <c r="G19" s="2">
        <v>24.9864365543203</v>
      </c>
      <c r="H19" s="2">
        <v>874.525279401211</v>
      </c>
      <c r="I19" t="s">
        <v>22</v>
      </c>
    </row>
    <row r="20" spans="1:9">
      <c r="A20" t="s">
        <v>88</v>
      </c>
      <c r="B20" t="s">
        <v>89</v>
      </c>
      <c r="C20" t="s">
        <v>36</v>
      </c>
      <c r="D20" t="s">
        <v>51</v>
      </c>
      <c r="E20" s="1">
        <v>38551</v>
      </c>
      <c r="F20">
        <v>40</v>
      </c>
      <c r="G20" s="2">
        <v>28.1837716768448</v>
      </c>
      <c r="H20" s="2">
        <v>1127.35086707379</v>
      </c>
      <c r="I20" t="s">
        <v>15</v>
      </c>
    </row>
    <row r="21" spans="1:9">
      <c r="A21" t="s">
        <v>92</v>
      </c>
      <c r="B21" t="s">
        <v>93</v>
      </c>
      <c r="C21" t="s">
        <v>20</v>
      </c>
      <c r="D21" t="s">
        <v>21</v>
      </c>
      <c r="E21" s="1">
        <v>38202</v>
      </c>
      <c r="F21">
        <v>35.5</v>
      </c>
      <c r="G21" s="2">
        <v>23.5513467037949</v>
      </c>
      <c r="H21" s="2">
        <v>836.072807984721</v>
      </c>
      <c r="I21" t="s">
        <v>22</v>
      </c>
    </row>
    <row r="22" spans="1:9">
      <c r="A22" t="s">
        <v>96</v>
      </c>
      <c r="B22" t="s">
        <v>97</v>
      </c>
      <c r="C22" t="s">
        <v>20</v>
      </c>
      <c r="D22" t="s">
        <v>21</v>
      </c>
      <c r="E22" s="1">
        <v>39385</v>
      </c>
      <c r="F22">
        <v>38</v>
      </c>
      <c r="G22" s="2">
        <v>21.527759251738</v>
      </c>
      <c r="H22" s="2">
        <v>818.054851566046</v>
      </c>
      <c r="I22" t="s">
        <v>22</v>
      </c>
    </row>
    <row r="23" spans="1:9">
      <c r="A23" t="s">
        <v>100</v>
      </c>
      <c r="B23" t="s">
        <v>101</v>
      </c>
      <c r="C23" t="s">
        <v>20</v>
      </c>
      <c r="D23" t="s">
        <v>21</v>
      </c>
      <c r="E23" s="1">
        <v>37877</v>
      </c>
      <c r="F23">
        <v>40</v>
      </c>
      <c r="G23" s="2">
        <v>29.435165359699</v>
      </c>
      <c r="H23" s="2">
        <v>1177.40661438796</v>
      </c>
      <c r="I23" t="s">
        <v>15</v>
      </c>
    </row>
    <row r="24" spans="1:9">
      <c r="A24" t="s">
        <v>104</v>
      </c>
      <c r="B24" t="s">
        <v>105</v>
      </c>
      <c r="C24" t="s">
        <v>20</v>
      </c>
      <c r="D24" t="s">
        <v>21</v>
      </c>
      <c r="E24" s="1">
        <v>37779</v>
      </c>
      <c r="F24">
        <v>40</v>
      </c>
      <c r="G24" s="2">
        <v>28.5585427782549</v>
      </c>
      <c r="H24" s="2">
        <v>1142.3417111302</v>
      </c>
      <c r="I24" t="s">
        <v>15</v>
      </c>
    </row>
    <row r="25" spans="1:9">
      <c r="A25" t="s">
        <v>108</v>
      </c>
      <c r="B25" t="s">
        <v>109</v>
      </c>
      <c r="C25" t="s">
        <v>13</v>
      </c>
      <c r="D25" t="s">
        <v>21</v>
      </c>
      <c r="E25" s="1">
        <v>40611</v>
      </c>
      <c r="F25">
        <v>35</v>
      </c>
      <c r="G25" s="2">
        <v>21.3408234410477</v>
      </c>
      <c r="H25" s="2">
        <v>746.928820436669</v>
      </c>
      <c r="I25" t="s">
        <v>22</v>
      </c>
    </row>
    <row r="26" spans="1:9">
      <c r="A26" t="s">
        <v>112</v>
      </c>
      <c r="B26" t="s">
        <v>113</v>
      </c>
      <c r="C26" t="s">
        <v>13</v>
      </c>
      <c r="D26" t="s">
        <v>21</v>
      </c>
      <c r="E26" s="1">
        <v>38808</v>
      </c>
      <c r="F26">
        <v>25</v>
      </c>
      <c r="G26" s="2">
        <v>26.7983252095194</v>
      </c>
      <c r="H26" s="2">
        <v>669.958130237985</v>
      </c>
      <c r="I26" t="s">
        <v>22</v>
      </c>
    </row>
    <row r="27" spans="1:9">
      <c r="A27" t="s">
        <v>116</v>
      </c>
      <c r="B27" t="s">
        <v>117</v>
      </c>
      <c r="C27" t="s">
        <v>20</v>
      </c>
      <c r="D27" t="s">
        <v>21</v>
      </c>
      <c r="E27" s="1">
        <v>39807</v>
      </c>
      <c r="F27">
        <v>32</v>
      </c>
      <c r="G27" s="2">
        <v>29.9348706756959</v>
      </c>
      <c r="H27" s="2">
        <v>957.915861622268</v>
      </c>
      <c r="I27" t="s">
        <v>22</v>
      </c>
    </row>
    <row r="28" spans="1:9">
      <c r="A28" t="s">
        <v>120</v>
      </c>
      <c r="B28" t="s">
        <v>121</v>
      </c>
      <c r="C28" t="s">
        <v>20</v>
      </c>
      <c r="D28" t="s">
        <v>51</v>
      </c>
      <c r="E28" s="1">
        <v>39233</v>
      </c>
      <c r="F28">
        <v>35</v>
      </c>
      <c r="G28" s="2">
        <v>22.5344105761657</v>
      </c>
      <c r="H28" s="2">
        <v>788.704370165799</v>
      </c>
      <c r="I28" t="s">
        <v>22</v>
      </c>
    </row>
    <row r="29" spans="1:9">
      <c r="A29" t="s">
        <v>124</v>
      </c>
      <c r="B29" t="s">
        <v>125</v>
      </c>
      <c r="C29" t="s">
        <v>20</v>
      </c>
      <c r="D29" t="s">
        <v>59</v>
      </c>
      <c r="E29" s="1">
        <v>40155</v>
      </c>
      <c r="F29">
        <v>25</v>
      </c>
      <c r="G29" s="2">
        <v>22.0288511044065</v>
      </c>
      <c r="H29" s="2">
        <v>550.721277610162</v>
      </c>
      <c r="I29" t="s">
        <v>22</v>
      </c>
    </row>
    <row r="30" spans="1:9">
      <c r="A30" t="s">
        <v>128</v>
      </c>
      <c r="B30" t="s">
        <v>129</v>
      </c>
      <c r="C30" t="s">
        <v>20</v>
      </c>
      <c r="D30" t="s">
        <v>51</v>
      </c>
      <c r="E30" s="1">
        <v>38263</v>
      </c>
      <c r="F30">
        <v>40</v>
      </c>
      <c r="G30" s="2">
        <v>22.224435083452</v>
      </c>
      <c r="H30" s="2">
        <v>888.977403338081</v>
      </c>
      <c r="I30" t="s">
        <v>15</v>
      </c>
    </row>
    <row r="31" spans="1:9">
      <c r="A31" t="s">
        <v>132</v>
      </c>
      <c r="B31" t="s">
        <v>133</v>
      </c>
      <c r="C31" t="s">
        <v>27</v>
      </c>
      <c r="D31" t="s">
        <v>14</v>
      </c>
      <c r="E31" s="1">
        <v>39414</v>
      </c>
      <c r="F31">
        <v>35.5</v>
      </c>
      <c r="G31" s="2">
        <v>24.0440594640406</v>
      </c>
      <c r="H31" s="2">
        <v>853.56411097344</v>
      </c>
      <c r="I31" t="s">
        <v>22</v>
      </c>
    </row>
    <row r="32" spans="1:9">
      <c r="A32" t="s">
        <v>136</v>
      </c>
      <c r="B32" t="s">
        <v>137</v>
      </c>
      <c r="C32" t="s">
        <v>27</v>
      </c>
      <c r="D32" t="s">
        <v>21</v>
      </c>
      <c r="E32" s="1">
        <v>39831</v>
      </c>
      <c r="F32">
        <v>29.5</v>
      </c>
      <c r="G32" s="2">
        <v>27.9270088695213</v>
      </c>
      <c r="H32" s="2">
        <v>823.846761650878</v>
      </c>
      <c r="I32" t="s">
        <v>22</v>
      </c>
    </row>
    <row r="33" spans="1:9">
      <c r="A33" t="s">
        <v>140</v>
      </c>
      <c r="B33" t="s">
        <v>141</v>
      </c>
      <c r="C33" t="s">
        <v>13</v>
      </c>
      <c r="D33" t="s">
        <v>59</v>
      </c>
      <c r="E33" s="1">
        <v>38474</v>
      </c>
      <c r="F33">
        <v>40</v>
      </c>
      <c r="G33" s="2">
        <v>25.3218774491568</v>
      </c>
      <c r="H33" s="2">
        <v>1012.87509796627</v>
      </c>
      <c r="I33" t="s">
        <v>15</v>
      </c>
    </row>
    <row r="34" spans="1:9">
      <c r="A34" t="s">
        <v>144</v>
      </c>
      <c r="B34" t="s">
        <v>145</v>
      </c>
      <c r="C34" t="s">
        <v>13</v>
      </c>
      <c r="D34" t="s">
        <v>59</v>
      </c>
      <c r="E34" s="1">
        <v>40205</v>
      </c>
      <c r="F34">
        <v>35.5</v>
      </c>
      <c r="G34" s="2">
        <v>22.0416278412084</v>
      </c>
      <c r="H34" s="2">
        <v>782.477788362898</v>
      </c>
      <c r="I34" t="s">
        <v>22</v>
      </c>
    </row>
    <row r="35" spans="1:9">
      <c r="A35" t="s">
        <v>148</v>
      </c>
      <c r="B35" t="s">
        <v>149</v>
      </c>
      <c r="C35" t="s">
        <v>20</v>
      </c>
      <c r="D35" t="s">
        <v>59</v>
      </c>
      <c r="E35" s="1">
        <v>39053</v>
      </c>
      <c r="F35">
        <v>32</v>
      </c>
      <c r="G35" s="2">
        <v>20.9360592580624</v>
      </c>
      <c r="H35" s="2">
        <v>669.953896257996</v>
      </c>
      <c r="I35" t="s">
        <v>22</v>
      </c>
    </row>
    <row r="36" spans="1:9">
      <c r="A36" t="s">
        <v>152</v>
      </c>
      <c r="B36" t="s">
        <v>153</v>
      </c>
      <c r="C36" t="s">
        <v>27</v>
      </c>
      <c r="D36" t="s">
        <v>14</v>
      </c>
      <c r="E36" s="1">
        <v>38914</v>
      </c>
      <c r="F36">
        <v>35.5</v>
      </c>
      <c r="G36" s="2">
        <v>23.7804724680972</v>
      </c>
      <c r="H36" s="2">
        <v>844.206772617451</v>
      </c>
      <c r="I36" t="s">
        <v>22</v>
      </c>
    </row>
    <row r="37" spans="1:9">
      <c r="A37" t="s">
        <v>156</v>
      </c>
      <c r="B37" t="s">
        <v>157</v>
      </c>
      <c r="C37" t="s">
        <v>20</v>
      </c>
      <c r="D37" t="s">
        <v>59</v>
      </c>
      <c r="E37" s="1">
        <v>38727</v>
      </c>
      <c r="F37">
        <v>35</v>
      </c>
      <c r="G37" s="2">
        <v>26.870973454107</v>
      </c>
      <c r="H37" s="2">
        <v>940.484070893745</v>
      </c>
      <c r="I37" t="s">
        <v>22</v>
      </c>
    </row>
    <row r="38" spans="1:9">
      <c r="A38" t="s">
        <v>160</v>
      </c>
      <c r="B38" t="s">
        <v>161</v>
      </c>
      <c r="C38" t="s">
        <v>27</v>
      </c>
      <c r="D38" t="s">
        <v>14</v>
      </c>
      <c r="E38" s="1">
        <v>38659</v>
      </c>
      <c r="F38">
        <v>40</v>
      </c>
      <c r="G38" s="2">
        <v>28.0351807192208</v>
      </c>
      <c r="H38" s="2">
        <v>1121.40722876883</v>
      </c>
      <c r="I38" t="s">
        <v>15</v>
      </c>
    </row>
    <row r="39" spans="1:9">
      <c r="A39" t="s">
        <v>164</v>
      </c>
      <c r="B39" t="s">
        <v>165</v>
      </c>
      <c r="C39" t="s">
        <v>20</v>
      </c>
      <c r="D39" t="s">
        <v>51</v>
      </c>
      <c r="E39" s="1">
        <v>39430</v>
      </c>
      <c r="F39">
        <v>40</v>
      </c>
      <c r="G39" s="2">
        <v>22.0025822256507</v>
      </c>
      <c r="H39" s="2">
        <v>880.10328902603</v>
      </c>
      <c r="I39" t="s">
        <v>15</v>
      </c>
    </row>
    <row r="40" spans="1:9">
      <c r="A40" t="s">
        <v>168</v>
      </c>
      <c r="B40" t="s">
        <v>169</v>
      </c>
      <c r="C40" t="s">
        <v>20</v>
      </c>
      <c r="D40" t="s">
        <v>14</v>
      </c>
      <c r="E40" s="1">
        <v>38026</v>
      </c>
      <c r="F40">
        <v>40</v>
      </c>
      <c r="G40" s="2">
        <v>24.209926541516</v>
      </c>
      <c r="H40" s="2">
        <v>968.397061660642</v>
      </c>
      <c r="I40" t="s">
        <v>15</v>
      </c>
    </row>
    <row r="41" spans="1:9">
      <c r="A41" t="s">
        <v>172</v>
      </c>
      <c r="B41" t="s">
        <v>173</v>
      </c>
      <c r="C41" t="s">
        <v>20</v>
      </c>
      <c r="D41" t="s">
        <v>51</v>
      </c>
      <c r="E41" s="1">
        <v>39575</v>
      </c>
      <c r="F41">
        <v>40</v>
      </c>
      <c r="G41" s="2">
        <v>26.4166446930878</v>
      </c>
      <c r="H41" s="2">
        <v>1056.66578772351</v>
      </c>
      <c r="I41" t="s">
        <v>15</v>
      </c>
    </row>
    <row r="42" spans="1:9">
      <c r="A42" t="s">
        <v>176</v>
      </c>
      <c r="B42" t="s">
        <v>177</v>
      </c>
      <c r="C42" t="s">
        <v>27</v>
      </c>
      <c r="D42" t="s">
        <v>59</v>
      </c>
      <c r="E42" s="1">
        <v>38989</v>
      </c>
      <c r="F42">
        <v>40</v>
      </c>
      <c r="G42" s="2">
        <v>26.1563408101695</v>
      </c>
      <c r="H42" s="2">
        <v>1046.25363240678</v>
      </c>
      <c r="I42" t="s">
        <v>15</v>
      </c>
    </row>
    <row r="43" spans="1:9">
      <c r="A43" t="s">
        <v>180</v>
      </c>
      <c r="B43" t="s">
        <v>181</v>
      </c>
      <c r="C43" t="s">
        <v>27</v>
      </c>
      <c r="D43" t="s">
        <v>59</v>
      </c>
      <c r="E43" s="1">
        <v>40127</v>
      </c>
      <c r="F43">
        <v>40</v>
      </c>
      <c r="G43" s="2">
        <v>28.8001607672559</v>
      </c>
      <c r="H43" s="2">
        <v>1152.00643069023</v>
      </c>
      <c r="I43" t="s">
        <v>15</v>
      </c>
    </row>
    <row r="44" spans="1:9">
      <c r="A44" t="s">
        <v>184</v>
      </c>
      <c r="B44" t="s">
        <v>185</v>
      </c>
      <c r="C44" t="s">
        <v>27</v>
      </c>
      <c r="D44" t="s">
        <v>14</v>
      </c>
      <c r="E44" s="1">
        <v>39070</v>
      </c>
      <c r="F44">
        <v>35.5</v>
      </c>
      <c r="G44" s="2">
        <v>24.7005037048751</v>
      </c>
      <c r="H44" s="2">
        <v>876.867881523066</v>
      </c>
      <c r="I44" t="s">
        <v>22</v>
      </c>
    </row>
    <row r="45" spans="1:9">
      <c r="A45" t="s">
        <v>187</v>
      </c>
      <c r="B45" t="s">
        <v>188</v>
      </c>
      <c r="C45" t="s">
        <v>36</v>
      </c>
      <c r="D45" t="s">
        <v>21</v>
      </c>
      <c r="E45" s="1">
        <v>39251</v>
      </c>
      <c r="F45">
        <v>40</v>
      </c>
      <c r="G45" s="2">
        <v>24.7208809045488</v>
      </c>
      <c r="H45" s="2">
        <v>988.835236181952</v>
      </c>
      <c r="I45" t="s">
        <v>15</v>
      </c>
    </row>
    <row r="46" spans="1:9">
      <c r="A46" t="s">
        <v>190</v>
      </c>
      <c r="B46" t="s">
        <v>191</v>
      </c>
      <c r="C46" t="s">
        <v>36</v>
      </c>
      <c r="D46" t="s">
        <v>14</v>
      </c>
      <c r="E46" s="1">
        <v>39925</v>
      </c>
      <c r="F46">
        <v>15.5</v>
      </c>
      <c r="G46" s="2">
        <v>22.0461359567629</v>
      </c>
      <c r="H46" s="2">
        <v>341.715107329824</v>
      </c>
      <c r="I46" t="s">
        <v>22</v>
      </c>
    </row>
    <row r="47" spans="1:9">
      <c r="A47" t="s">
        <v>193</v>
      </c>
      <c r="B47" t="s">
        <v>194</v>
      </c>
      <c r="C47" t="s">
        <v>20</v>
      </c>
      <c r="D47" t="s">
        <v>59</v>
      </c>
      <c r="E47" s="1">
        <v>39226</v>
      </c>
      <c r="F47">
        <v>25</v>
      </c>
      <c r="G47" s="2">
        <v>29.0167556854929</v>
      </c>
      <c r="H47" s="2">
        <v>725.418892137322</v>
      </c>
      <c r="I47" t="s">
        <v>22</v>
      </c>
    </row>
    <row r="48" spans="1:9">
      <c r="A48" t="s">
        <v>196</v>
      </c>
      <c r="B48" t="s">
        <v>197</v>
      </c>
      <c r="C48" t="s">
        <v>36</v>
      </c>
      <c r="D48" t="s">
        <v>14</v>
      </c>
      <c r="E48" s="1">
        <v>40561</v>
      </c>
      <c r="F48">
        <v>40</v>
      </c>
      <c r="G48" s="2">
        <v>27.3588677466791</v>
      </c>
      <c r="H48" s="2">
        <v>1094.35470986716</v>
      </c>
      <c r="I48" t="s">
        <v>15</v>
      </c>
    </row>
    <row r="49" spans="1:9">
      <c r="A49" t="s">
        <v>198</v>
      </c>
      <c r="B49" t="s">
        <v>199</v>
      </c>
      <c r="C49" t="s">
        <v>36</v>
      </c>
      <c r="D49" t="s">
        <v>14</v>
      </c>
      <c r="E49" s="1">
        <v>38080</v>
      </c>
      <c r="F49">
        <v>40</v>
      </c>
      <c r="G49" s="2">
        <v>23.5591787626696</v>
      </c>
      <c r="H49" s="2">
        <v>942.367150506783</v>
      </c>
      <c r="I49" t="s">
        <v>15</v>
      </c>
    </row>
    <row r="50" spans="1:9">
      <c r="A50" t="s">
        <v>200</v>
      </c>
      <c r="B50" t="s">
        <v>201</v>
      </c>
      <c r="C50" t="s">
        <v>13</v>
      </c>
      <c r="D50" t="s">
        <v>59</v>
      </c>
      <c r="E50" s="1">
        <v>37784</v>
      </c>
      <c r="F50">
        <v>38</v>
      </c>
      <c r="G50" s="2">
        <v>25.8959240312466</v>
      </c>
      <c r="H50" s="2">
        <v>984.04511318737</v>
      </c>
      <c r="I50" t="s">
        <v>22</v>
      </c>
    </row>
    <row r="51" spans="1:9">
      <c r="A51" t="s">
        <v>202</v>
      </c>
      <c r="B51" t="s">
        <v>203</v>
      </c>
      <c r="C51" t="s">
        <v>20</v>
      </c>
      <c r="D51" t="s">
        <v>51</v>
      </c>
      <c r="E51" s="1">
        <v>40135</v>
      </c>
      <c r="F51">
        <v>40</v>
      </c>
      <c r="G51" s="2">
        <v>23.7440482448647</v>
      </c>
      <c r="H51" s="2">
        <v>949.761929794589</v>
      </c>
      <c r="I51" t="s">
        <v>15</v>
      </c>
    </row>
    <row r="52" spans="1:9">
      <c r="A52" t="s">
        <v>204</v>
      </c>
      <c r="B52" t="s">
        <v>205</v>
      </c>
      <c r="C52" t="s">
        <v>20</v>
      </c>
      <c r="D52" t="s">
        <v>59</v>
      </c>
      <c r="E52" s="1">
        <v>38851</v>
      </c>
      <c r="F52">
        <v>40</v>
      </c>
      <c r="G52" s="2">
        <v>22.1172203389426</v>
      </c>
      <c r="H52" s="2">
        <v>884.688813557704</v>
      </c>
      <c r="I52" t="s">
        <v>15</v>
      </c>
    </row>
    <row r="53" spans="1:9">
      <c r="A53" t="s">
        <v>206</v>
      </c>
      <c r="B53" t="s">
        <v>207</v>
      </c>
      <c r="C53" t="s">
        <v>20</v>
      </c>
      <c r="D53" t="s">
        <v>21</v>
      </c>
      <c r="E53" s="1">
        <v>38995</v>
      </c>
      <c r="F53">
        <v>40</v>
      </c>
      <c r="G53" s="2">
        <v>28.5041873925272</v>
      </c>
      <c r="H53" s="2">
        <v>1140.16749570109</v>
      </c>
      <c r="I53" t="s">
        <v>15</v>
      </c>
    </row>
    <row r="54" spans="1:9">
      <c r="A54" t="s">
        <v>208</v>
      </c>
      <c r="B54" t="s">
        <v>209</v>
      </c>
      <c r="C54" t="s">
        <v>27</v>
      </c>
      <c r="D54" t="s">
        <v>59</v>
      </c>
      <c r="E54" s="1">
        <v>37439</v>
      </c>
      <c r="F54">
        <v>40</v>
      </c>
      <c r="G54" s="2">
        <v>23.8861934229302</v>
      </c>
      <c r="H54" s="2">
        <v>955.447736917208</v>
      </c>
      <c r="I54" t="s">
        <v>15</v>
      </c>
    </row>
    <row r="55" spans="1:9">
      <c r="A55" t="s">
        <v>210</v>
      </c>
      <c r="B55" t="s">
        <v>211</v>
      </c>
      <c r="C55" t="s">
        <v>13</v>
      </c>
      <c r="D55" t="s">
        <v>51</v>
      </c>
      <c r="E55" s="1">
        <v>40601</v>
      </c>
      <c r="F55">
        <v>40</v>
      </c>
      <c r="G55" s="2">
        <v>24.4318025315317</v>
      </c>
      <c r="H55" s="2">
        <v>977.272101261268</v>
      </c>
      <c r="I55" t="s">
        <v>15</v>
      </c>
    </row>
    <row r="56" spans="1:9">
      <c r="A56" t="s">
        <v>212</v>
      </c>
      <c r="B56" t="s">
        <v>213</v>
      </c>
      <c r="C56" t="s">
        <v>27</v>
      </c>
      <c r="D56" t="s">
        <v>21</v>
      </c>
      <c r="E56" s="1">
        <v>36264</v>
      </c>
      <c r="F56">
        <v>40</v>
      </c>
      <c r="G56" s="2">
        <v>24.3651867901812</v>
      </c>
      <c r="H56" s="2">
        <v>974.607471607247</v>
      </c>
      <c r="I56" t="s">
        <v>15</v>
      </c>
    </row>
    <row r="57" spans="1:9">
      <c r="A57" t="s">
        <v>214</v>
      </c>
      <c r="B57" t="s">
        <v>215</v>
      </c>
      <c r="C57" t="s">
        <v>20</v>
      </c>
      <c r="D57" t="s">
        <v>14</v>
      </c>
      <c r="E57" s="1">
        <v>39238</v>
      </c>
      <c r="F57">
        <v>40</v>
      </c>
      <c r="G57" s="2">
        <v>26.7929940105714</v>
      </c>
      <c r="H57" s="2">
        <v>1071.71976042286</v>
      </c>
      <c r="I57" t="s">
        <v>15</v>
      </c>
    </row>
    <row r="58" spans="1:9">
      <c r="A58" t="s">
        <v>216</v>
      </c>
      <c r="B58" t="s">
        <v>217</v>
      </c>
      <c r="C58" t="s">
        <v>13</v>
      </c>
      <c r="D58" t="s">
        <v>59</v>
      </c>
      <c r="E58" s="1">
        <v>40754</v>
      </c>
      <c r="F58">
        <v>32</v>
      </c>
      <c r="G58" s="2">
        <v>26.9521621799409</v>
      </c>
      <c r="H58" s="2">
        <v>862.46918975811</v>
      </c>
      <c r="I58" t="s">
        <v>22</v>
      </c>
    </row>
    <row r="59" spans="1:9">
      <c r="A59" t="s">
        <v>218</v>
      </c>
      <c r="B59" t="s">
        <v>219</v>
      </c>
      <c r="C59" t="s">
        <v>36</v>
      </c>
      <c r="D59" t="s">
        <v>14</v>
      </c>
      <c r="E59" s="1">
        <v>39138</v>
      </c>
      <c r="F59">
        <v>15.5</v>
      </c>
      <c r="G59" s="2">
        <v>26.3802017837466</v>
      </c>
      <c r="H59" s="2">
        <v>408.893127648072</v>
      </c>
      <c r="I59" t="s">
        <v>22</v>
      </c>
    </row>
    <row r="60" spans="1:9">
      <c r="A60" t="s">
        <v>220</v>
      </c>
      <c r="B60" t="s">
        <v>221</v>
      </c>
      <c r="C60" t="s">
        <v>36</v>
      </c>
      <c r="D60" t="s">
        <v>14</v>
      </c>
      <c r="E60" s="1">
        <v>38217</v>
      </c>
      <c r="F60">
        <v>40</v>
      </c>
      <c r="G60" s="2">
        <v>29.4332293587101</v>
      </c>
      <c r="H60" s="2">
        <v>1177.32917434841</v>
      </c>
      <c r="I60" t="s">
        <v>15</v>
      </c>
    </row>
    <row r="61" spans="1:9">
      <c r="A61" t="s">
        <v>222</v>
      </c>
      <c r="B61" t="s">
        <v>223</v>
      </c>
      <c r="C61" t="s">
        <v>27</v>
      </c>
      <c r="D61" t="s">
        <v>21</v>
      </c>
      <c r="E61" s="1">
        <v>39378</v>
      </c>
      <c r="F61">
        <v>40</v>
      </c>
      <c r="G61" s="2">
        <v>22.9135978775507</v>
      </c>
      <c r="H61" s="2">
        <v>916.54391510203</v>
      </c>
      <c r="I61" t="s">
        <v>15</v>
      </c>
    </row>
    <row r="62" spans="1:9">
      <c r="A62" t="s">
        <v>224</v>
      </c>
      <c r="B62" t="s">
        <v>225</v>
      </c>
      <c r="C62" t="s">
        <v>27</v>
      </c>
      <c r="D62" t="s">
        <v>14</v>
      </c>
      <c r="E62" s="1">
        <v>41968</v>
      </c>
      <c r="F62">
        <v>40</v>
      </c>
      <c r="G62" s="2">
        <v>21.063510642513</v>
      </c>
      <c r="H62" s="2">
        <v>842.540425700521</v>
      </c>
      <c r="I62" t="s">
        <v>15</v>
      </c>
    </row>
    <row r="63" spans="1:9">
      <c r="A63" t="s">
        <v>226</v>
      </c>
      <c r="B63" t="s">
        <v>227</v>
      </c>
      <c r="C63" t="s">
        <v>20</v>
      </c>
      <c r="D63" t="s">
        <v>14</v>
      </c>
      <c r="E63" s="1">
        <v>40397</v>
      </c>
      <c r="F63">
        <v>35</v>
      </c>
      <c r="G63" s="2">
        <v>26.1930616475145</v>
      </c>
      <c r="H63" s="2">
        <v>916.757157663007</v>
      </c>
      <c r="I63" t="s">
        <v>22</v>
      </c>
    </row>
    <row r="64" spans="1:9">
      <c r="A64" t="s">
        <v>228</v>
      </c>
      <c r="B64" t="s">
        <v>229</v>
      </c>
      <c r="C64" t="s">
        <v>13</v>
      </c>
      <c r="D64" t="s">
        <v>14</v>
      </c>
      <c r="E64" s="1">
        <v>38068</v>
      </c>
      <c r="F64">
        <v>35.5</v>
      </c>
      <c r="G64" s="2">
        <v>26.441106244959</v>
      </c>
      <c r="H64" s="2">
        <v>938.659271696046</v>
      </c>
      <c r="I64" t="s">
        <v>22</v>
      </c>
    </row>
    <row r="65" spans="1:9">
      <c r="A65" t="s">
        <v>230</v>
      </c>
      <c r="B65" t="s">
        <v>231</v>
      </c>
      <c r="C65" t="s">
        <v>13</v>
      </c>
      <c r="D65" t="s">
        <v>51</v>
      </c>
      <c r="E65" s="1">
        <v>38211</v>
      </c>
      <c r="F65">
        <v>32</v>
      </c>
      <c r="G65" s="2">
        <v>20.8628676904625</v>
      </c>
      <c r="H65" s="2">
        <v>667.6117660948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236</v>
      </c>
      <c r="B68" t="s">
        <v>237</v>
      </c>
      <c r="C68" t="s">
        <v>27</v>
      </c>
      <c r="D68" t="s">
        <v>59</v>
      </c>
      <c r="E68" s="1">
        <v>39418</v>
      </c>
      <c r="F68">
        <v>29.5</v>
      </c>
      <c r="G68" s="2">
        <v>27.2459372602021</v>
      </c>
      <c r="H68" s="2">
        <v>803.755149175961</v>
      </c>
      <c r="I68" t="s">
        <v>22</v>
      </c>
    </row>
    <row r="69" spans="1:9">
      <c r="A69" t="s">
        <v>238</v>
      </c>
      <c r="B69" t="s">
        <v>239</v>
      </c>
      <c r="C69" t="s">
        <v>13</v>
      </c>
      <c r="D69" t="s">
        <v>21</v>
      </c>
      <c r="E69" s="1">
        <v>40268</v>
      </c>
      <c r="F69">
        <v>32</v>
      </c>
      <c r="G69" s="2">
        <v>24.7808249198699</v>
      </c>
      <c r="H69" s="2">
        <v>792.986397435835</v>
      </c>
      <c r="I69" t="s">
        <v>22</v>
      </c>
    </row>
    <row r="70" spans="1:9">
      <c r="A70" t="s">
        <v>240</v>
      </c>
      <c r="B70" t="s">
        <v>241</v>
      </c>
      <c r="C70" t="s">
        <v>36</v>
      </c>
      <c r="D70" t="s">
        <v>21</v>
      </c>
      <c r="E70" s="1">
        <v>39770</v>
      </c>
      <c r="F70">
        <v>35</v>
      </c>
      <c r="G70" s="2">
        <v>20.9514694627171</v>
      </c>
      <c r="H70" s="2">
        <v>733.301431195098</v>
      </c>
      <c r="I70" t="s">
        <v>22</v>
      </c>
    </row>
    <row r="71" spans="1:9">
      <c r="A71" t="s">
        <v>242</v>
      </c>
      <c r="B71" t="s">
        <v>243</v>
      </c>
      <c r="C71" t="s">
        <v>27</v>
      </c>
      <c r="D71" t="s">
        <v>51</v>
      </c>
      <c r="E71" s="1">
        <v>37263</v>
      </c>
      <c r="F71">
        <v>40</v>
      </c>
      <c r="G71" s="2">
        <v>24.2132465350738</v>
      </c>
      <c r="H71" s="2">
        <v>968.529861402952</v>
      </c>
      <c r="I71" t="s">
        <v>15</v>
      </c>
    </row>
    <row r="72" spans="1:9">
      <c r="A72" t="s">
        <v>244</v>
      </c>
      <c r="B72" t="s">
        <v>245</v>
      </c>
      <c r="C72" t="s">
        <v>36</v>
      </c>
      <c r="D72" t="s">
        <v>51</v>
      </c>
      <c r="E72" s="1">
        <v>38990</v>
      </c>
      <c r="F72">
        <v>40</v>
      </c>
      <c r="G72" s="2">
        <v>26.6733350813367</v>
      </c>
      <c r="H72" s="2">
        <v>1066.93340325347</v>
      </c>
      <c r="I72" t="s">
        <v>15</v>
      </c>
    </row>
    <row r="73" spans="1:9">
      <c r="A73" t="s">
        <v>246</v>
      </c>
      <c r="B73" t="s">
        <v>247</v>
      </c>
      <c r="C73" t="s">
        <v>36</v>
      </c>
      <c r="D73" t="s">
        <v>51</v>
      </c>
      <c r="E73" s="1">
        <v>38288</v>
      </c>
      <c r="F73">
        <v>40</v>
      </c>
      <c r="G73" s="2">
        <v>23.270898653239</v>
      </c>
      <c r="H73" s="2">
        <v>930.835946129561</v>
      </c>
      <c r="I73" t="s">
        <v>15</v>
      </c>
    </row>
    <row r="74" spans="1:9">
      <c r="A74" t="s">
        <v>248</v>
      </c>
      <c r="B74" t="s">
        <v>249</v>
      </c>
      <c r="C74" t="s">
        <v>27</v>
      </c>
      <c r="D74" t="s">
        <v>51</v>
      </c>
      <c r="E74" s="1">
        <v>39752</v>
      </c>
      <c r="F74">
        <v>40</v>
      </c>
      <c r="G74" s="2">
        <v>29.6126531698801</v>
      </c>
      <c r="H74" s="2">
        <v>1184.5061267952</v>
      </c>
      <c r="I74" t="s">
        <v>15</v>
      </c>
    </row>
    <row r="75" spans="1:9">
      <c r="A75" t="s">
        <v>250</v>
      </c>
      <c r="B75" t="s">
        <v>251</v>
      </c>
      <c r="C75" t="s">
        <v>20</v>
      </c>
      <c r="D75" t="s">
        <v>59</v>
      </c>
      <c r="E75" s="1">
        <v>38029</v>
      </c>
      <c r="F75">
        <v>25</v>
      </c>
      <c r="G75" s="2">
        <v>27.1249727517577</v>
      </c>
      <c r="H75" s="2">
        <v>678.124318793942</v>
      </c>
      <c r="I75" t="s">
        <v>22</v>
      </c>
    </row>
    <row r="76" spans="1:9">
      <c r="A76" t="s">
        <v>252</v>
      </c>
      <c r="B76" t="s">
        <v>253</v>
      </c>
      <c r="C76" t="s">
        <v>13</v>
      </c>
      <c r="D76" t="s">
        <v>51</v>
      </c>
      <c r="E76" s="1">
        <v>38990</v>
      </c>
      <c r="F76">
        <v>40</v>
      </c>
      <c r="G76" s="2">
        <v>20.55570522982</v>
      </c>
      <c r="H76" s="2">
        <v>822.2282091928</v>
      </c>
      <c r="I76" t="s">
        <v>15</v>
      </c>
    </row>
    <row r="77" spans="1:9">
      <c r="A77" t="s">
        <v>254</v>
      </c>
      <c r="B77" t="s">
        <v>255</v>
      </c>
      <c r="C77" t="s">
        <v>27</v>
      </c>
      <c r="D77" t="s">
        <v>51</v>
      </c>
      <c r="E77" s="1">
        <v>40139</v>
      </c>
      <c r="F77">
        <v>42</v>
      </c>
      <c r="G77" s="2">
        <v>23.7429467910733</v>
      </c>
      <c r="H77" s="2">
        <v>997.20376522508</v>
      </c>
      <c r="I77" t="s">
        <v>15</v>
      </c>
    </row>
    <row r="78" spans="1:9">
      <c r="A78" t="s">
        <v>256</v>
      </c>
      <c r="B78" t="s">
        <v>257</v>
      </c>
      <c r="C78" t="s">
        <v>13</v>
      </c>
      <c r="D78" t="s">
        <v>14</v>
      </c>
      <c r="E78" s="1">
        <v>39601</v>
      </c>
      <c r="F78">
        <v>25</v>
      </c>
      <c r="G78" s="2">
        <v>20.6563505176776</v>
      </c>
      <c r="H78" s="2">
        <v>516.40876294194</v>
      </c>
      <c r="I78" t="s">
        <v>22</v>
      </c>
    </row>
    <row r="79" spans="1:9">
      <c r="A79" t="s">
        <v>258</v>
      </c>
      <c r="B79" t="s">
        <v>259</v>
      </c>
      <c r="C79" t="s">
        <v>20</v>
      </c>
      <c r="D79" t="s">
        <v>21</v>
      </c>
      <c r="E79" s="1">
        <v>40035</v>
      </c>
      <c r="F79">
        <v>40</v>
      </c>
      <c r="G79" s="2">
        <v>24.7613808611318</v>
      </c>
      <c r="H79" s="2">
        <v>990.455234445274</v>
      </c>
      <c r="I79" t="s">
        <v>15</v>
      </c>
    </row>
    <row r="80" spans="1:9">
      <c r="A80" t="s">
        <v>260</v>
      </c>
      <c r="B80" t="s">
        <v>261</v>
      </c>
      <c r="C80" t="s">
        <v>27</v>
      </c>
      <c r="D80" t="s">
        <v>59</v>
      </c>
      <c r="E80" s="1">
        <v>40296</v>
      </c>
      <c r="F80">
        <v>42</v>
      </c>
      <c r="G80" s="2">
        <v>21.2089102328483</v>
      </c>
      <c r="H80" s="2">
        <v>890.774229779629</v>
      </c>
      <c r="I80" t="s">
        <v>15</v>
      </c>
    </row>
    <row r="81" spans="1:9">
      <c r="A81" t="s">
        <v>262</v>
      </c>
      <c r="B81" t="s">
        <v>263</v>
      </c>
      <c r="C81" t="s">
        <v>27</v>
      </c>
      <c r="D81" t="s">
        <v>14</v>
      </c>
      <c r="E81" s="1">
        <v>36953</v>
      </c>
      <c r="F81">
        <v>40</v>
      </c>
      <c r="G81" s="2">
        <v>29.6869323887969</v>
      </c>
      <c r="H81" s="2">
        <v>1187.47729555188</v>
      </c>
      <c r="I81" t="s">
        <v>15</v>
      </c>
    </row>
    <row r="82" spans="1:9">
      <c r="A82" t="s">
        <v>264</v>
      </c>
      <c r="B82" t="s">
        <v>265</v>
      </c>
      <c r="C82" t="s">
        <v>36</v>
      </c>
      <c r="D82" t="s">
        <v>14</v>
      </c>
      <c r="E82" s="1">
        <v>36948</v>
      </c>
      <c r="F82">
        <v>15.5</v>
      </c>
      <c r="G82" s="2">
        <v>27.0324725336245</v>
      </c>
      <c r="H82" s="2">
        <v>419.003324271179</v>
      </c>
      <c r="I82" t="s">
        <v>22</v>
      </c>
    </row>
    <row r="83" spans="1:9">
      <c r="A83" t="s">
        <v>266</v>
      </c>
      <c r="B83" t="s">
        <v>267</v>
      </c>
      <c r="C83" t="s">
        <v>27</v>
      </c>
      <c r="D83" t="s">
        <v>21</v>
      </c>
      <c r="E83" s="1">
        <v>40537</v>
      </c>
      <c r="F83">
        <v>40</v>
      </c>
      <c r="G83" s="2">
        <v>23.8393078808562</v>
      </c>
      <c r="H83" s="2">
        <v>953.572315234248</v>
      </c>
      <c r="I83" t="s">
        <v>15</v>
      </c>
    </row>
    <row r="84" spans="1:9">
      <c r="A84" t="s">
        <v>268</v>
      </c>
      <c r="B84" t="s">
        <v>269</v>
      </c>
      <c r="C84" t="s">
        <v>27</v>
      </c>
      <c r="D84" t="s">
        <v>21</v>
      </c>
      <c r="E84" s="1">
        <v>40692</v>
      </c>
      <c r="F84">
        <v>29.5</v>
      </c>
      <c r="G84" s="2">
        <v>26.1711140052097</v>
      </c>
      <c r="H84" s="2">
        <v>772.047863153687</v>
      </c>
      <c r="I84" t="s">
        <v>22</v>
      </c>
    </row>
    <row r="85" spans="1:9">
      <c r="A85" t="s">
        <v>270</v>
      </c>
      <c r="B85" t="s">
        <v>271</v>
      </c>
      <c r="C85" t="s">
        <v>27</v>
      </c>
      <c r="D85" t="s">
        <v>21</v>
      </c>
      <c r="E85" s="1">
        <v>38211</v>
      </c>
      <c r="F85">
        <v>29.5</v>
      </c>
      <c r="G85" s="2">
        <v>24.9382581014963</v>
      </c>
      <c r="H85" s="2">
        <v>735.67861399414</v>
      </c>
      <c r="I85" t="s">
        <v>22</v>
      </c>
    </row>
    <row r="86" spans="1:9">
      <c r="A86" t="s">
        <v>272</v>
      </c>
      <c r="B86" t="s">
        <v>273</v>
      </c>
      <c r="C86" t="s">
        <v>36</v>
      </c>
      <c r="D86" t="s">
        <v>21</v>
      </c>
      <c r="E86" s="1">
        <v>39435</v>
      </c>
      <c r="F86">
        <v>40</v>
      </c>
      <c r="G86" s="2">
        <v>21.9331419032506</v>
      </c>
      <c r="H86" s="2">
        <v>877.325676130023</v>
      </c>
      <c r="I86" t="s">
        <v>15</v>
      </c>
    </row>
    <row r="87" spans="1:9">
      <c r="A87" t="s">
        <v>274</v>
      </c>
      <c r="B87" t="s">
        <v>275</v>
      </c>
      <c r="C87" t="s">
        <v>36</v>
      </c>
      <c r="D87" t="s">
        <v>14</v>
      </c>
      <c r="E87" s="1">
        <v>40417</v>
      </c>
      <c r="F87">
        <v>15.5</v>
      </c>
      <c r="G87" s="2">
        <v>22.2269085765447</v>
      </c>
      <c r="H87" s="2">
        <v>344.517082936443</v>
      </c>
      <c r="I87" t="s">
        <v>22</v>
      </c>
    </row>
    <row r="88" spans="1:9">
      <c r="A88" t="s">
        <v>276</v>
      </c>
      <c r="B88" t="s">
        <v>277</v>
      </c>
      <c r="C88" t="s">
        <v>36</v>
      </c>
      <c r="D88" t="s">
        <v>21</v>
      </c>
      <c r="E88" s="1">
        <v>38880</v>
      </c>
      <c r="F88">
        <v>40</v>
      </c>
      <c r="G88" s="2">
        <v>28.5121956001453</v>
      </c>
      <c r="H88" s="2">
        <v>1140.48782400581</v>
      </c>
      <c r="I88" t="s">
        <v>15</v>
      </c>
    </row>
    <row r="89" spans="1:9">
      <c r="A89" t="s">
        <v>278</v>
      </c>
      <c r="B89" t="s">
        <v>279</v>
      </c>
      <c r="C89" t="s">
        <v>20</v>
      </c>
      <c r="D89" t="s">
        <v>59</v>
      </c>
      <c r="E89" s="1">
        <v>38084</v>
      </c>
      <c r="F89">
        <v>38</v>
      </c>
      <c r="G89" s="2">
        <v>26.1580386214767</v>
      </c>
      <c r="H89" s="2">
        <v>994.005467616114</v>
      </c>
      <c r="I89" t="s">
        <v>22</v>
      </c>
    </row>
    <row r="90" spans="1:9">
      <c r="A90" t="s">
        <v>280</v>
      </c>
      <c r="B90" t="s">
        <v>281</v>
      </c>
      <c r="C90" t="s">
        <v>20</v>
      </c>
      <c r="D90" t="s">
        <v>14</v>
      </c>
      <c r="E90" s="1">
        <v>37112</v>
      </c>
      <c r="F90">
        <v>38</v>
      </c>
      <c r="G90" s="2">
        <v>29.9674239695174</v>
      </c>
      <c r="H90" s="2">
        <v>1138.76211084166</v>
      </c>
      <c r="I90" t="s">
        <v>22</v>
      </c>
    </row>
    <row r="91" spans="1:9">
      <c r="A91" t="s">
        <v>282</v>
      </c>
      <c r="B91" t="s">
        <v>283</v>
      </c>
      <c r="C91" t="s">
        <v>27</v>
      </c>
      <c r="D91" t="s">
        <v>51</v>
      </c>
      <c r="E91" s="1">
        <v>37948</v>
      </c>
      <c r="F91">
        <v>40</v>
      </c>
      <c r="G91" s="2">
        <v>25.3452862696831</v>
      </c>
      <c r="H91" s="2">
        <v>1013.81145078732</v>
      </c>
      <c r="I91" t="s">
        <v>15</v>
      </c>
    </row>
    <row r="92" spans="1:9">
      <c r="A92" t="s">
        <v>284</v>
      </c>
      <c r="B92" t="s">
        <v>285</v>
      </c>
      <c r="C92" t="s">
        <v>36</v>
      </c>
      <c r="D92" t="s">
        <v>14</v>
      </c>
      <c r="E92" s="1">
        <v>39059</v>
      </c>
      <c r="F92">
        <v>40</v>
      </c>
      <c r="G92" s="2">
        <v>25.6019372294119</v>
      </c>
      <c r="H92" s="2">
        <v>1024.07748917648</v>
      </c>
      <c r="I92" t="s">
        <v>15</v>
      </c>
    </row>
    <row r="93" spans="1:9">
      <c r="A93" t="s">
        <v>286</v>
      </c>
      <c r="B93" t="s">
        <v>287</v>
      </c>
      <c r="C93" t="s">
        <v>20</v>
      </c>
      <c r="D93" t="s">
        <v>14</v>
      </c>
      <c r="E93" s="1">
        <v>38533</v>
      </c>
      <c r="F93">
        <v>35.5</v>
      </c>
      <c r="G93" s="2">
        <v>23.9214244689799</v>
      </c>
      <c r="H93" s="2">
        <v>849.210568648788</v>
      </c>
      <c r="I93" t="s">
        <v>22</v>
      </c>
    </row>
    <row r="94" spans="1:9">
      <c r="A94" t="s">
        <v>288</v>
      </c>
      <c r="B94" t="s">
        <v>289</v>
      </c>
      <c r="C94" t="s">
        <v>36</v>
      </c>
      <c r="D94" t="s">
        <v>59</v>
      </c>
      <c r="E94" s="1">
        <v>38744</v>
      </c>
      <c r="F94">
        <v>35</v>
      </c>
      <c r="G94" s="2">
        <v>20.3208991153415</v>
      </c>
      <c r="H94" s="2">
        <v>711.231469036951</v>
      </c>
      <c r="I94" t="s">
        <v>22</v>
      </c>
    </row>
    <row r="95" spans="1:9">
      <c r="A95" t="s">
        <v>290</v>
      </c>
      <c r="B95" t="s">
        <v>291</v>
      </c>
      <c r="C95" t="s">
        <v>20</v>
      </c>
      <c r="D95" t="s">
        <v>59</v>
      </c>
      <c r="E95" s="1">
        <v>40119</v>
      </c>
      <c r="F95">
        <v>35</v>
      </c>
      <c r="G95" s="2">
        <v>27.5256373926534</v>
      </c>
      <c r="H95" s="2">
        <v>963.397308742868</v>
      </c>
      <c r="I95" t="s">
        <v>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workbookViewId="0">
      <selection activeCell="A1" sqref="A1:I95"/>
    </sheetView>
  </sheetViews>
  <sheetFormatPr defaultColWidth="8.88888888888889" defaultRowHeight="14.4"/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11</v>
      </c>
      <c r="B2" t="s">
        <v>12</v>
      </c>
      <c r="C2" t="s">
        <v>13</v>
      </c>
      <c r="D2" t="s">
        <v>14</v>
      </c>
      <c r="E2" s="1">
        <v>40380</v>
      </c>
      <c r="F2">
        <v>42</v>
      </c>
      <c r="G2" s="2">
        <v>27.4231033617227</v>
      </c>
      <c r="H2" s="2">
        <v>1151.77034119235</v>
      </c>
      <c r="I2" t="s">
        <v>15</v>
      </c>
    </row>
    <row r="3" spans="1:9">
      <c r="A3" t="s">
        <v>18</v>
      </c>
      <c r="B3" t="s">
        <v>19</v>
      </c>
      <c r="C3" t="s">
        <v>20</v>
      </c>
      <c r="D3" t="s">
        <v>21</v>
      </c>
      <c r="E3" s="1">
        <v>40574</v>
      </c>
      <c r="F3">
        <v>35</v>
      </c>
      <c r="G3" s="2">
        <v>27.7308540634317</v>
      </c>
      <c r="H3" s="2">
        <v>970.57989222011</v>
      </c>
      <c r="I3" t="s">
        <v>22</v>
      </c>
    </row>
    <row r="4" spans="1:9">
      <c r="A4" t="s">
        <v>25</v>
      </c>
      <c r="B4" t="s">
        <v>26</v>
      </c>
      <c r="C4" t="s">
        <v>27</v>
      </c>
      <c r="D4" t="s">
        <v>14</v>
      </c>
      <c r="E4" s="1">
        <v>39089</v>
      </c>
      <c r="F4">
        <v>42</v>
      </c>
      <c r="G4" s="2">
        <v>23.2385457007659</v>
      </c>
      <c r="H4" s="2">
        <v>976.018919432168</v>
      </c>
      <c r="I4" t="s">
        <v>15</v>
      </c>
    </row>
    <row r="5" spans="1:9">
      <c r="A5" t="s">
        <v>30</v>
      </c>
      <c r="B5" t="s">
        <v>31</v>
      </c>
      <c r="C5" t="s">
        <v>20</v>
      </c>
      <c r="D5" t="s">
        <v>14</v>
      </c>
      <c r="E5" s="1">
        <v>40095</v>
      </c>
      <c r="F5">
        <v>40</v>
      </c>
      <c r="G5" s="2">
        <v>29.6040358356933</v>
      </c>
      <c r="H5" s="2">
        <v>1184.16143342773</v>
      </c>
      <c r="I5" t="s">
        <v>15</v>
      </c>
    </row>
    <row r="6" spans="1:9">
      <c r="A6" t="s">
        <v>34</v>
      </c>
      <c r="B6" t="s">
        <v>35</v>
      </c>
      <c r="C6" t="s">
        <v>36</v>
      </c>
      <c r="D6" t="s">
        <v>14</v>
      </c>
      <c r="E6" s="1">
        <v>38863</v>
      </c>
      <c r="F6">
        <v>40</v>
      </c>
      <c r="G6" s="2">
        <v>20.2945957445476</v>
      </c>
      <c r="H6" s="2">
        <v>811.783829781904</v>
      </c>
      <c r="I6" t="s">
        <v>15</v>
      </c>
    </row>
    <row r="7" spans="1:9">
      <c r="A7" t="s">
        <v>38</v>
      </c>
      <c r="B7" t="s">
        <v>39</v>
      </c>
      <c r="C7" t="s">
        <v>27</v>
      </c>
      <c r="D7" t="s">
        <v>21</v>
      </c>
      <c r="E7" s="1">
        <v>39329</v>
      </c>
      <c r="F7">
        <v>29.5</v>
      </c>
      <c r="G7" s="2">
        <v>22.5040616496157</v>
      </c>
      <c r="H7" s="2">
        <v>663.869818663664</v>
      </c>
      <c r="I7" t="s">
        <v>22</v>
      </c>
    </row>
    <row r="8" spans="1:9">
      <c r="A8" t="s">
        <v>42</v>
      </c>
      <c r="B8" t="s">
        <v>43</v>
      </c>
      <c r="C8" t="s">
        <v>27</v>
      </c>
      <c r="D8" t="s">
        <v>14</v>
      </c>
      <c r="E8" s="1">
        <v>38372</v>
      </c>
      <c r="F8">
        <v>35.5</v>
      </c>
      <c r="G8" s="2">
        <v>23.7146915473977</v>
      </c>
      <c r="H8" s="2">
        <v>841.87154993262</v>
      </c>
      <c r="I8" t="s">
        <v>22</v>
      </c>
    </row>
    <row r="9" spans="1:9">
      <c r="A9" t="s">
        <v>46</v>
      </c>
      <c r="B9" t="s">
        <v>47</v>
      </c>
      <c r="C9" t="s">
        <v>27</v>
      </c>
      <c r="D9" t="s">
        <v>21</v>
      </c>
      <c r="E9" s="1">
        <v>37721</v>
      </c>
      <c r="F9">
        <v>40</v>
      </c>
      <c r="G9" s="2">
        <v>24.6342558337354</v>
      </c>
      <c r="H9" s="2">
        <v>985.370233349417</v>
      </c>
      <c r="I9" t="s">
        <v>15</v>
      </c>
    </row>
    <row r="10" spans="1:9">
      <c r="A10" t="s">
        <v>49</v>
      </c>
      <c r="B10" t="s">
        <v>50</v>
      </c>
      <c r="C10" t="s">
        <v>36</v>
      </c>
      <c r="D10" t="s">
        <v>51</v>
      </c>
      <c r="E10" s="1">
        <v>38014</v>
      </c>
      <c r="F10">
        <v>40</v>
      </c>
      <c r="G10" s="2">
        <v>24.0625161257531</v>
      </c>
      <c r="H10" s="2">
        <v>962.500645030123</v>
      </c>
      <c r="I10" t="s">
        <v>15</v>
      </c>
    </row>
    <row r="11" spans="1:9">
      <c r="A11" t="s">
        <v>54</v>
      </c>
      <c r="B11" t="s">
        <v>55</v>
      </c>
      <c r="C11" t="s">
        <v>27</v>
      </c>
      <c r="D11" t="s">
        <v>14</v>
      </c>
      <c r="E11" s="1">
        <v>39406</v>
      </c>
      <c r="F11">
        <v>35.5</v>
      </c>
      <c r="G11" s="2">
        <v>22.4745266505368</v>
      </c>
      <c r="H11" s="2">
        <v>797.845696094057</v>
      </c>
      <c r="I11" t="s">
        <v>22</v>
      </c>
    </row>
    <row r="12" spans="1:9">
      <c r="A12" t="s">
        <v>57</v>
      </c>
      <c r="B12" t="s">
        <v>58</v>
      </c>
      <c r="C12" t="s">
        <v>36</v>
      </c>
      <c r="D12" t="s">
        <v>59</v>
      </c>
      <c r="E12" s="1">
        <v>40636</v>
      </c>
      <c r="F12">
        <v>40</v>
      </c>
      <c r="G12" s="2">
        <v>26.2274469754406</v>
      </c>
      <c r="H12" s="2">
        <v>1049.09787901763</v>
      </c>
      <c r="I12" t="s">
        <v>15</v>
      </c>
    </row>
    <row r="13" spans="1:9">
      <c r="A13" t="s">
        <v>62</v>
      </c>
      <c r="B13" t="s">
        <v>63</v>
      </c>
      <c r="C13" t="s">
        <v>36</v>
      </c>
      <c r="D13" t="s">
        <v>59</v>
      </c>
      <c r="E13" s="1">
        <v>37299</v>
      </c>
      <c r="F13">
        <v>40</v>
      </c>
      <c r="G13" s="2">
        <v>20.4595521381667</v>
      </c>
      <c r="H13" s="2">
        <v>818.382085526669</v>
      </c>
      <c r="I13" t="s">
        <v>15</v>
      </c>
    </row>
    <row r="14" spans="1:9">
      <c r="A14" t="s">
        <v>65</v>
      </c>
      <c r="B14" t="s">
        <v>66</v>
      </c>
      <c r="C14" t="s">
        <v>36</v>
      </c>
      <c r="D14" t="s">
        <v>14</v>
      </c>
      <c r="E14" s="1">
        <v>39601</v>
      </c>
      <c r="F14">
        <v>40</v>
      </c>
      <c r="G14" s="2">
        <v>20.3846080101342</v>
      </c>
      <c r="H14" s="2">
        <v>815.384320405368</v>
      </c>
      <c r="I14" t="s">
        <v>15</v>
      </c>
    </row>
    <row r="15" spans="1:9">
      <c r="A15" t="s">
        <v>69</v>
      </c>
      <c r="B15" t="s">
        <v>70</v>
      </c>
      <c r="C15" t="s">
        <v>36</v>
      </c>
      <c r="D15" t="s">
        <v>59</v>
      </c>
      <c r="E15" s="1">
        <v>39051</v>
      </c>
      <c r="F15">
        <v>15.5</v>
      </c>
      <c r="G15" s="2">
        <v>23.8590814253866</v>
      </c>
      <c r="H15" s="2">
        <v>369.815762093492</v>
      </c>
      <c r="I15" t="s">
        <v>22</v>
      </c>
    </row>
    <row r="16" spans="1:9">
      <c r="A16" t="s">
        <v>72</v>
      </c>
      <c r="B16" t="s">
        <v>73</v>
      </c>
      <c r="C16" t="s">
        <v>13</v>
      </c>
      <c r="D16" t="s">
        <v>59</v>
      </c>
      <c r="E16" s="1">
        <v>39223</v>
      </c>
      <c r="F16">
        <v>38</v>
      </c>
      <c r="G16" s="2">
        <v>26.2234936764226</v>
      </c>
      <c r="H16" s="2">
        <v>996.49275970406</v>
      </c>
      <c r="I16" t="s">
        <v>22</v>
      </c>
    </row>
    <row r="17" spans="1:9">
      <c r="A17" t="s">
        <v>76</v>
      </c>
      <c r="B17" t="s">
        <v>77</v>
      </c>
      <c r="C17" t="s">
        <v>20</v>
      </c>
      <c r="D17" t="s">
        <v>59</v>
      </c>
      <c r="E17" s="1">
        <v>39259</v>
      </c>
      <c r="F17">
        <v>40</v>
      </c>
      <c r="G17" s="2">
        <v>24.122312108731</v>
      </c>
      <c r="H17" s="2">
        <v>964.89248434924</v>
      </c>
      <c r="I17" t="s">
        <v>15</v>
      </c>
    </row>
    <row r="18" spans="1:9">
      <c r="A18" t="s">
        <v>80</v>
      </c>
      <c r="B18" t="s">
        <v>81</v>
      </c>
      <c r="C18" t="s">
        <v>27</v>
      </c>
      <c r="D18" t="s">
        <v>14</v>
      </c>
      <c r="E18" s="1">
        <v>40108</v>
      </c>
      <c r="F18">
        <v>40</v>
      </c>
      <c r="G18" s="2">
        <v>27.4278911367849</v>
      </c>
      <c r="H18" s="2">
        <v>1097.11564547139</v>
      </c>
      <c r="I18" t="s">
        <v>15</v>
      </c>
    </row>
    <row r="19" spans="1:9">
      <c r="A19" t="s">
        <v>84</v>
      </c>
      <c r="B19" t="s">
        <v>85</v>
      </c>
      <c r="C19" t="s">
        <v>13</v>
      </c>
      <c r="D19" t="s">
        <v>14</v>
      </c>
      <c r="E19" s="1">
        <v>39865</v>
      </c>
      <c r="F19">
        <v>35</v>
      </c>
      <c r="G19" s="2">
        <v>24.9864365543203</v>
      </c>
      <c r="H19" s="2">
        <v>874.525279401211</v>
      </c>
      <c r="I19" t="s">
        <v>22</v>
      </c>
    </row>
    <row r="20" spans="1:9">
      <c r="A20" t="s">
        <v>88</v>
      </c>
      <c r="B20" t="s">
        <v>89</v>
      </c>
      <c r="C20" t="s">
        <v>36</v>
      </c>
      <c r="D20" t="s">
        <v>51</v>
      </c>
      <c r="E20" s="1">
        <v>38551</v>
      </c>
      <c r="F20">
        <v>40</v>
      </c>
      <c r="G20" s="2">
        <v>28.1837716768448</v>
      </c>
      <c r="H20" s="2">
        <v>1127.35086707379</v>
      </c>
      <c r="I20" t="s">
        <v>15</v>
      </c>
    </row>
    <row r="21" spans="1:9">
      <c r="A21" t="s">
        <v>92</v>
      </c>
      <c r="B21" t="s">
        <v>93</v>
      </c>
      <c r="C21" t="s">
        <v>20</v>
      </c>
      <c r="D21" t="s">
        <v>21</v>
      </c>
      <c r="E21" s="1">
        <v>38202</v>
      </c>
      <c r="F21">
        <v>35.5</v>
      </c>
      <c r="G21" s="2">
        <v>23.5513467037949</v>
      </c>
      <c r="H21" s="2">
        <v>836.072807984721</v>
      </c>
      <c r="I21" t="s">
        <v>22</v>
      </c>
    </row>
    <row r="22" spans="1:9">
      <c r="A22" t="s">
        <v>96</v>
      </c>
      <c r="B22" t="s">
        <v>97</v>
      </c>
      <c r="C22" t="s">
        <v>20</v>
      </c>
      <c r="D22" t="s">
        <v>21</v>
      </c>
      <c r="E22" s="1">
        <v>39385</v>
      </c>
      <c r="F22">
        <v>38</v>
      </c>
      <c r="G22" s="2">
        <v>21.527759251738</v>
      </c>
      <c r="H22" s="2">
        <v>818.054851566046</v>
      </c>
      <c r="I22" t="s">
        <v>22</v>
      </c>
    </row>
    <row r="23" spans="1:9">
      <c r="A23" t="s">
        <v>100</v>
      </c>
      <c r="B23" t="s">
        <v>101</v>
      </c>
      <c r="C23" t="s">
        <v>20</v>
      </c>
      <c r="D23" t="s">
        <v>21</v>
      </c>
      <c r="E23" s="1">
        <v>37877</v>
      </c>
      <c r="F23">
        <v>40</v>
      </c>
      <c r="G23" s="2">
        <v>29.435165359699</v>
      </c>
      <c r="H23" s="2">
        <v>1177.40661438796</v>
      </c>
      <c r="I23" t="s">
        <v>15</v>
      </c>
    </row>
    <row r="24" spans="1:9">
      <c r="A24" t="s">
        <v>104</v>
      </c>
      <c r="B24" t="s">
        <v>105</v>
      </c>
      <c r="C24" t="s">
        <v>20</v>
      </c>
      <c r="D24" t="s">
        <v>21</v>
      </c>
      <c r="E24" s="1">
        <v>37779</v>
      </c>
      <c r="F24">
        <v>40</v>
      </c>
      <c r="G24" s="2">
        <v>28.5585427782549</v>
      </c>
      <c r="H24" s="2">
        <v>1142.3417111302</v>
      </c>
      <c r="I24" t="s">
        <v>15</v>
      </c>
    </row>
    <row r="25" spans="1:9">
      <c r="A25" t="s">
        <v>108</v>
      </c>
      <c r="B25" t="s">
        <v>109</v>
      </c>
      <c r="C25" t="s">
        <v>13</v>
      </c>
      <c r="D25" t="s">
        <v>21</v>
      </c>
      <c r="E25" s="1">
        <v>40611</v>
      </c>
      <c r="F25">
        <v>35</v>
      </c>
      <c r="G25" s="2">
        <v>21.3408234410477</v>
      </c>
      <c r="H25" s="2">
        <v>746.928820436669</v>
      </c>
      <c r="I25" t="s">
        <v>22</v>
      </c>
    </row>
    <row r="26" spans="1:9">
      <c r="A26" t="s">
        <v>112</v>
      </c>
      <c r="B26" t="s">
        <v>113</v>
      </c>
      <c r="C26" t="s">
        <v>13</v>
      </c>
      <c r="D26" t="s">
        <v>21</v>
      </c>
      <c r="E26" s="1">
        <v>38808</v>
      </c>
      <c r="F26">
        <v>25</v>
      </c>
      <c r="G26" s="2">
        <v>26.7983252095194</v>
      </c>
      <c r="H26" s="2">
        <v>669.958130237985</v>
      </c>
      <c r="I26" t="s">
        <v>22</v>
      </c>
    </row>
    <row r="27" spans="1:9">
      <c r="A27" t="s">
        <v>116</v>
      </c>
      <c r="B27" t="s">
        <v>117</v>
      </c>
      <c r="C27" t="s">
        <v>20</v>
      </c>
      <c r="D27" t="s">
        <v>21</v>
      </c>
      <c r="E27" s="1">
        <v>39807</v>
      </c>
      <c r="F27">
        <v>32</v>
      </c>
      <c r="G27" s="2">
        <v>29.9348706756959</v>
      </c>
      <c r="H27" s="2">
        <v>957.915861622268</v>
      </c>
      <c r="I27" t="s">
        <v>22</v>
      </c>
    </row>
    <row r="28" spans="1:9">
      <c r="A28" t="s">
        <v>120</v>
      </c>
      <c r="B28" t="s">
        <v>121</v>
      </c>
      <c r="C28" t="s">
        <v>20</v>
      </c>
      <c r="D28" t="s">
        <v>51</v>
      </c>
      <c r="E28" s="1">
        <v>39233</v>
      </c>
      <c r="F28">
        <v>35</v>
      </c>
      <c r="G28" s="2">
        <v>22.5344105761657</v>
      </c>
      <c r="H28" s="2">
        <v>788.704370165799</v>
      </c>
      <c r="I28" t="s">
        <v>22</v>
      </c>
    </row>
    <row r="29" spans="1:9">
      <c r="A29" t="s">
        <v>124</v>
      </c>
      <c r="B29" t="s">
        <v>125</v>
      </c>
      <c r="C29" t="s">
        <v>20</v>
      </c>
      <c r="D29" t="s">
        <v>59</v>
      </c>
      <c r="E29" s="1">
        <v>40155</v>
      </c>
      <c r="F29">
        <v>25</v>
      </c>
      <c r="G29" s="2">
        <v>22.0288511044065</v>
      </c>
      <c r="H29" s="2">
        <v>550.721277610162</v>
      </c>
      <c r="I29" t="s">
        <v>22</v>
      </c>
    </row>
    <row r="30" spans="1:9">
      <c r="A30" t="s">
        <v>128</v>
      </c>
      <c r="B30" t="s">
        <v>129</v>
      </c>
      <c r="C30" t="s">
        <v>20</v>
      </c>
      <c r="D30" t="s">
        <v>51</v>
      </c>
      <c r="E30" s="1">
        <v>38263</v>
      </c>
      <c r="F30">
        <v>40</v>
      </c>
      <c r="G30" s="2">
        <v>22.224435083452</v>
      </c>
      <c r="H30" s="2">
        <v>888.977403338081</v>
      </c>
      <c r="I30" t="s">
        <v>15</v>
      </c>
    </row>
    <row r="31" spans="1:9">
      <c r="A31" t="s">
        <v>132</v>
      </c>
      <c r="B31" t="s">
        <v>133</v>
      </c>
      <c r="C31" t="s">
        <v>27</v>
      </c>
      <c r="D31" t="s">
        <v>14</v>
      </c>
      <c r="E31" s="1">
        <v>39414</v>
      </c>
      <c r="F31">
        <v>35.5</v>
      </c>
      <c r="G31" s="2">
        <v>24.0440594640406</v>
      </c>
      <c r="H31" s="2">
        <v>853.56411097344</v>
      </c>
      <c r="I31" t="s">
        <v>22</v>
      </c>
    </row>
    <row r="32" spans="1:9">
      <c r="A32" t="s">
        <v>136</v>
      </c>
      <c r="B32" t="s">
        <v>137</v>
      </c>
      <c r="C32" t="s">
        <v>27</v>
      </c>
      <c r="D32" t="s">
        <v>21</v>
      </c>
      <c r="E32" s="1">
        <v>39831</v>
      </c>
      <c r="F32">
        <v>29.5</v>
      </c>
      <c r="G32" s="2">
        <v>27.9270088695213</v>
      </c>
      <c r="H32" s="2">
        <v>823.846761650878</v>
      </c>
      <c r="I32" t="s">
        <v>22</v>
      </c>
    </row>
    <row r="33" spans="1:9">
      <c r="A33" t="s">
        <v>140</v>
      </c>
      <c r="B33" t="s">
        <v>141</v>
      </c>
      <c r="C33" t="s">
        <v>13</v>
      </c>
      <c r="D33" t="s">
        <v>59</v>
      </c>
      <c r="E33" s="1">
        <v>38474</v>
      </c>
      <c r="F33">
        <v>40</v>
      </c>
      <c r="G33" s="2">
        <v>25.3218774491568</v>
      </c>
      <c r="H33" s="2">
        <v>1012.87509796627</v>
      </c>
      <c r="I33" t="s">
        <v>15</v>
      </c>
    </row>
    <row r="34" spans="1:9">
      <c r="A34" t="s">
        <v>144</v>
      </c>
      <c r="B34" t="s">
        <v>145</v>
      </c>
      <c r="C34" t="s">
        <v>13</v>
      </c>
      <c r="D34" t="s">
        <v>59</v>
      </c>
      <c r="E34" s="1">
        <v>40205</v>
      </c>
      <c r="F34">
        <v>35.5</v>
      </c>
      <c r="G34" s="2">
        <v>22.0416278412084</v>
      </c>
      <c r="H34" s="2">
        <v>782.477788362898</v>
      </c>
      <c r="I34" t="s">
        <v>22</v>
      </c>
    </row>
    <row r="35" spans="1:9">
      <c r="A35" t="s">
        <v>148</v>
      </c>
      <c r="B35" t="s">
        <v>149</v>
      </c>
      <c r="C35" t="s">
        <v>20</v>
      </c>
      <c r="D35" t="s">
        <v>59</v>
      </c>
      <c r="E35" s="1">
        <v>39053</v>
      </c>
      <c r="F35">
        <v>32</v>
      </c>
      <c r="G35" s="2">
        <v>20.9360592580624</v>
      </c>
      <c r="H35" s="2">
        <v>669.953896257996</v>
      </c>
      <c r="I35" t="s">
        <v>22</v>
      </c>
    </row>
    <row r="36" spans="1:9">
      <c r="A36" t="s">
        <v>152</v>
      </c>
      <c r="B36" t="s">
        <v>153</v>
      </c>
      <c r="C36" t="s">
        <v>27</v>
      </c>
      <c r="D36" t="s">
        <v>14</v>
      </c>
      <c r="E36" s="1">
        <v>38914</v>
      </c>
      <c r="F36">
        <v>35.5</v>
      </c>
      <c r="G36" s="2">
        <v>23.7804724680972</v>
      </c>
      <c r="H36" s="2">
        <v>844.206772617451</v>
      </c>
      <c r="I36" t="s">
        <v>22</v>
      </c>
    </row>
    <row r="37" spans="1:9">
      <c r="A37" t="s">
        <v>156</v>
      </c>
      <c r="B37" t="s">
        <v>157</v>
      </c>
      <c r="C37" t="s">
        <v>20</v>
      </c>
      <c r="D37" t="s">
        <v>59</v>
      </c>
      <c r="E37" s="1">
        <v>38727</v>
      </c>
      <c r="F37">
        <v>35</v>
      </c>
      <c r="G37" s="2">
        <v>26.870973454107</v>
      </c>
      <c r="H37" s="2">
        <v>940.484070893745</v>
      </c>
      <c r="I37" t="s">
        <v>22</v>
      </c>
    </row>
    <row r="38" spans="1:9">
      <c r="A38" t="s">
        <v>160</v>
      </c>
      <c r="B38" t="s">
        <v>161</v>
      </c>
      <c r="C38" t="s">
        <v>27</v>
      </c>
      <c r="D38" t="s">
        <v>14</v>
      </c>
      <c r="E38" s="1">
        <v>38659</v>
      </c>
      <c r="F38">
        <v>40</v>
      </c>
      <c r="G38" s="2">
        <v>28.0351807192208</v>
      </c>
      <c r="H38" s="2">
        <v>1121.40722876883</v>
      </c>
      <c r="I38" t="s">
        <v>15</v>
      </c>
    </row>
    <row r="39" spans="1:9">
      <c r="A39" t="s">
        <v>164</v>
      </c>
      <c r="B39" t="s">
        <v>165</v>
      </c>
      <c r="C39" t="s">
        <v>20</v>
      </c>
      <c r="D39" t="s">
        <v>51</v>
      </c>
      <c r="E39" s="1">
        <v>39430</v>
      </c>
      <c r="F39">
        <v>40</v>
      </c>
      <c r="G39" s="2">
        <v>22.0025822256507</v>
      </c>
      <c r="H39" s="2">
        <v>880.10328902603</v>
      </c>
      <c r="I39" t="s">
        <v>15</v>
      </c>
    </row>
    <row r="40" spans="1:9">
      <c r="A40" t="s">
        <v>168</v>
      </c>
      <c r="B40" t="s">
        <v>169</v>
      </c>
      <c r="C40" t="s">
        <v>20</v>
      </c>
      <c r="D40" t="s">
        <v>14</v>
      </c>
      <c r="E40" s="1">
        <v>38026</v>
      </c>
      <c r="F40">
        <v>40</v>
      </c>
      <c r="G40" s="2">
        <v>24.209926541516</v>
      </c>
      <c r="H40" s="2">
        <v>968.397061660642</v>
      </c>
      <c r="I40" t="s">
        <v>15</v>
      </c>
    </row>
    <row r="41" spans="1:9">
      <c r="A41" t="s">
        <v>172</v>
      </c>
      <c r="B41" t="s">
        <v>173</v>
      </c>
      <c r="C41" t="s">
        <v>20</v>
      </c>
      <c r="D41" t="s">
        <v>51</v>
      </c>
      <c r="E41" s="1">
        <v>39575</v>
      </c>
      <c r="F41">
        <v>40</v>
      </c>
      <c r="G41" s="2">
        <v>26.4166446930878</v>
      </c>
      <c r="H41" s="2">
        <v>1056.66578772351</v>
      </c>
      <c r="I41" t="s">
        <v>15</v>
      </c>
    </row>
    <row r="42" spans="1:9">
      <c r="A42" t="s">
        <v>176</v>
      </c>
      <c r="B42" t="s">
        <v>177</v>
      </c>
      <c r="C42" t="s">
        <v>27</v>
      </c>
      <c r="D42" t="s">
        <v>59</v>
      </c>
      <c r="E42" s="1">
        <v>38989</v>
      </c>
      <c r="F42">
        <v>40</v>
      </c>
      <c r="G42" s="2">
        <v>26.1563408101695</v>
      </c>
      <c r="H42" s="2">
        <v>1046.25363240678</v>
      </c>
      <c r="I42" t="s">
        <v>15</v>
      </c>
    </row>
    <row r="43" spans="1:9">
      <c r="A43" t="s">
        <v>180</v>
      </c>
      <c r="B43" t="s">
        <v>181</v>
      </c>
      <c r="C43" t="s">
        <v>27</v>
      </c>
      <c r="D43" t="s">
        <v>59</v>
      </c>
      <c r="E43" s="1">
        <v>40127</v>
      </c>
      <c r="F43">
        <v>40</v>
      </c>
      <c r="G43" s="2">
        <v>28.8001607672559</v>
      </c>
      <c r="H43" s="2">
        <v>1152.00643069023</v>
      </c>
      <c r="I43" t="s">
        <v>15</v>
      </c>
    </row>
    <row r="44" spans="1:9">
      <c r="A44" t="s">
        <v>184</v>
      </c>
      <c r="B44" t="s">
        <v>185</v>
      </c>
      <c r="C44" t="s">
        <v>27</v>
      </c>
      <c r="D44" t="s">
        <v>14</v>
      </c>
      <c r="E44" s="1">
        <v>39070</v>
      </c>
      <c r="F44">
        <v>35.5</v>
      </c>
      <c r="G44" s="2">
        <v>24.7005037048751</v>
      </c>
      <c r="H44" s="2">
        <v>876.867881523066</v>
      </c>
      <c r="I44" t="s">
        <v>22</v>
      </c>
    </row>
    <row r="45" spans="1:9">
      <c r="A45" t="s">
        <v>187</v>
      </c>
      <c r="B45" t="s">
        <v>188</v>
      </c>
      <c r="C45" t="s">
        <v>36</v>
      </c>
      <c r="D45" t="s">
        <v>21</v>
      </c>
      <c r="E45" s="1">
        <v>39251</v>
      </c>
      <c r="F45">
        <v>40</v>
      </c>
      <c r="G45" s="2">
        <v>24.7208809045488</v>
      </c>
      <c r="H45" s="2">
        <v>988.835236181952</v>
      </c>
      <c r="I45" t="s">
        <v>15</v>
      </c>
    </row>
    <row r="46" spans="1:9">
      <c r="A46" t="s">
        <v>190</v>
      </c>
      <c r="B46" t="s">
        <v>191</v>
      </c>
      <c r="C46" t="s">
        <v>36</v>
      </c>
      <c r="D46" t="s">
        <v>14</v>
      </c>
      <c r="E46" s="1">
        <v>39925</v>
      </c>
      <c r="F46">
        <v>15.5</v>
      </c>
      <c r="G46" s="2">
        <v>22.0461359567629</v>
      </c>
      <c r="H46" s="2">
        <v>341.715107329824</v>
      </c>
      <c r="I46" t="s">
        <v>22</v>
      </c>
    </row>
    <row r="47" spans="1:9">
      <c r="A47" t="s">
        <v>193</v>
      </c>
      <c r="B47" t="s">
        <v>194</v>
      </c>
      <c r="C47" t="s">
        <v>20</v>
      </c>
      <c r="D47" t="s">
        <v>59</v>
      </c>
      <c r="E47" s="1">
        <v>39226</v>
      </c>
      <c r="F47">
        <v>25</v>
      </c>
      <c r="G47" s="2">
        <v>29.0167556854929</v>
      </c>
      <c r="H47" s="2">
        <v>725.418892137322</v>
      </c>
      <c r="I47" t="s">
        <v>22</v>
      </c>
    </row>
    <row r="48" spans="1:9">
      <c r="A48" t="s">
        <v>196</v>
      </c>
      <c r="B48" t="s">
        <v>197</v>
      </c>
      <c r="C48" t="s">
        <v>36</v>
      </c>
      <c r="D48" t="s">
        <v>14</v>
      </c>
      <c r="E48" s="1">
        <v>40561</v>
      </c>
      <c r="F48">
        <v>40</v>
      </c>
      <c r="G48" s="2">
        <v>27.3588677466791</v>
      </c>
      <c r="H48" s="2">
        <v>1094.35470986716</v>
      </c>
      <c r="I48" t="s">
        <v>15</v>
      </c>
    </row>
    <row r="49" spans="1:9">
      <c r="A49" t="s">
        <v>198</v>
      </c>
      <c r="B49" t="s">
        <v>199</v>
      </c>
      <c r="C49" t="s">
        <v>36</v>
      </c>
      <c r="D49" t="s">
        <v>14</v>
      </c>
      <c r="E49" s="1">
        <v>38080</v>
      </c>
      <c r="F49">
        <v>40</v>
      </c>
      <c r="G49" s="2">
        <v>23.5591787626696</v>
      </c>
      <c r="H49" s="2">
        <v>942.367150506783</v>
      </c>
      <c r="I49" t="s">
        <v>15</v>
      </c>
    </row>
    <row r="50" spans="1:9">
      <c r="A50" t="s">
        <v>200</v>
      </c>
      <c r="B50" t="s">
        <v>201</v>
      </c>
      <c r="C50" t="s">
        <v>13</v>
      </c>
      <c r="D50" t="s">
        <v>59</v>
      </c>
      <c r="E50" s="1">
        <v>37784</v>
      </c>
      <c r="F50">
        <v>38</v>
      </c>
      <c r="G50" s="2">
        <v>25.8959240312466</v>
      </c>
      <c r="H50" s="2">
        <v>984.04511318737</v>
      </c>
      <c r="I50" t="s">
        <v>22</v>
      </c>
    </row>
    <row r="51" spans="1:9">
      <c r="A51" t="s">
        <v>202</v>
      </c>
      <c r="B51" t="s">
        <v>203</v>
      </c>
      <c r="C51" t="s">
        <v>20</v>
      </c>
      <c r="D51" t="s">
        <v>51</v>
      </c>
      <c r="E51" s="1">
        <v>40135</v>
      </c>
      <c r="F51">
        <v>40</v>
      </c>
      <c r="G51" s="2">
        <v>23.7440482448647</v>
      </c>
      <c r="H51" s="2">
        <v>949.761929794589</v>
      </c>
      <c r="I51" t="s">
        <v>15</v>
      </c>
    </row>
    <row r="52" spans="1:9">
      <c r="A52" t="s">
        <v>204</v>
      </c>
      <c r="B52" t="s">
        <v>205</v>
      </c>
      <c r="C52" t="s">
        <v>20</v>
      </c>
      <c r="D52" t="s">
        <v>59</v>
      </c>
      <c r="E52" s="1">
        <v>38851</v>
      </c>
      <c r="F52">
        <v>40</v>
      </c>
      <c r="G52" s="2">
        <v>22.1172203389426</v>
      </c>
      <c r="H52" s="2">
        <v>884.688813557704</v>
      </c>
      <c r="I52" t="s">
        <v>15</v>
      </c>
    </row>
    <row r="53" spans="1:9">
      <c r="A53" t="s">
        <v>206</v>
      </c>
      <c r="B53" t="s">
        <v>207</v>
      </c>
      <c r="C53" t="s">
        <v>20</v>
      </c>
      <c r="D53" t="s">
        <v>21</v>
      </c>
      <c r="E53" s="1">
        <v>38995</v>
      </c>
      <c r="F53">
        <v>40</v>
      </c>
      <c r="G53" s="2">
        <v>28.5041873925272</v>
      </c>
      <c r="H53" s="2">
        <v>1140.16749570109</v>
      </c>
      <c r="I53" t="s">
        <v>15</v>
      </c>
    </row>
    <row r="54" spans="1:9">
      <c r="A54" t="s">
        <v>208</v>
      </c>
      <c r="B54" t="s">
        <v>209</v>
      </c>
      <c r="C54" t="s">
        <v>27</v>
      </c>
      <c r="D54" t="s">
        <v>59</v>
      </c>
      <c r="E54" s="1">
        <v>37439</v>
      </c>
      <c r="F54">
        <v>40</v>
      </c>
      <c r="G54" s="2">
        <v>23.8861934229302</v>
      </c>
      <c r="H54" s="2">
        <v>955.447736917208</v>
      </c>
      <c r="I54" t="s">
        <v>15</v>
      </c>
    </row>
    <row r="55" spans="1:9">
      <c r="A55" t="s">
        <v>210</v>
      </c>
      <c r="B55" t="s">
        <v>211</v>
      </c>
      <c r="C55" t="s">
        <v>13</v>
      </c>
      <c r="D55" t="s">
        <v>51</v>
      </c>
      <c r="E55" s="1">
        <v>40601</v>
      </c>
      <c r="F55">
        <v>40</v>
      </c>
      <c r="G55" s="2">
        <v>24.4318025315317</v>
      </c>
      <c r="H55" s="2">
        <v>977.272101261268</v>
      </c>
      <c r="I55" t="s">
        <v>15</v>
      </c>
    </row>
    <row r="56" spans="1:9">
      <c r="A56" t="s">
        <v>212</v>
      </c>
      <c r="B56" t="s">
        <v>213</v>
      </c>
      <c r="C56" t="s">
        <v>27</v>
      </c>
      <c r="D56" t="s">
        <v>21</v>
      </c>
      <c r="E56" s="1">
        <v>36264</v>
      </c>
      <c r="F56">
        <v>40</v>
      </c>
      <c r="G56" s="2">
        <v>24.3651867901812</v>
      </c>
      <c r="H56" s="2">
        <v>974.607471607247</v>
      </c>
      <c r="I56" t="s">
        <v>15</v>
      </c>
    </row>
    <row r="57" spans="1:9">
      <c r="A57" t="s">
        <v>214</v>
      </c>
      <c r="B57" t="s">
        <v>215</v>
      </c>
      <c r="C57" t="s">
        <v>20</v>
      </c>
      <c r="D57" t="s">
        <v>14</v>
      </c>
      <c r="E57" s="1">
        <v>39238</v>
      </c>
      <c r="F57">
        <v>40</v>
      </c>
      <c r="G57" s="2">
        <v>26.7929940105714</v>
      </c>
      <c r="H57" s="2">
        <v>1071.71976042286</v>
      </c>
      <c r="I57" t="s">
        <v>15</v>
      </c>
    </row>
    <row r="58" spans="1:9">
      <c r="A58" t="s">
        <v>216</v>
      </c>
      <c r="B58" t="s">
        <v>217</v>
      </c>
      <c r="C58" t="s">
        <v>13</v>
      </c>
      <c r="D58" t="s">
        <v>59</v>
      </c>
      <c r="E58" s="1">
        <v>40754</v>
      </c>
      <c r="F58">
        <v>32</v>
      </c>
      <c r="G58" s="2">
        <v>26.9521621799409</v>
      </c>
      <c r="H58" s="2">
        <v>862.46918975811</v>
      </c>
      <c r="I58" t="s">
        <v>22</v>
      </c>
    </row>
    <row r="59" spans="1:9">
      <c r="A59" t="s">
        <v>218</v>
      </c>
      <c r="B59" t="s">
        <v>219</v>
      </c>
      <c r="C59" t="s">
        <v>36</v>
      </c>
      <c r="D59" t="s">
        <v>14</v>
      </c>
      <c r="E59" s="1">
        <v>39138</v>
      </c>
      <c r="F59">
        <v>15.5</v>
      </c>
      <c r="G59" s="2">
        <v>26.3802017837466</v>
      </c>
      <c r="H59" s="2">
        <v>408.893127648072</v>
      </c>
      <c r="I59" t="s">
        <v>22</v>
      </c>
    </row>
    <row r="60" spans="1:9">
      <c r="A60" t="s">
        <v>220</v>
      </c>
      <c r="B60" t="s">
        <v>221</v>
      </c>
      <c r="C60" t="s">
        <v>36</v>
      </c>
      <c r="D60" t="s">
        <v>14</v>
      </c>
      <c r="E60" s="1">
        <v>38217</v>
      </c>
      <c r="F60">
        <v>40</v>
      </c>
      <c r="G60" s="2">
        <v>29.4332293587101</v>
      </c>
      <c r="H60" s="2">
        <v>1177.32917434841</v>
      </c>
      <c r="I60" t="s">
        <v>15</v>
      </c>
    </row>
    <row r="61" spans="1:9">
      <c r="A61" t="s">
        <v>222</v>
      </c>
      <c r="B61" t="s">
        <v>223</v>
      </c>
      <c r="C61" t="s">
        <v>27</v>
      </c>
      <c r="D61" t="s">
        <v>21</v>
      </c>
      <c r="E61" s="1">
        <v>39378</v>
      </c>
      <c r="F61">
        <v>40</v>
      </c>
      <c r="G61" s="2">
        <v>22.9135978775507</v>
      </c>
      <c r="H61" s="2">
        <v>916.54391510203</v>
      </c>
      <c r="I61" t="s">
        <v>15</v>
      </c>
    </row>
    <row r="62" spans="1:9">
      <c r="A62" t="s">
        <v>224</v>
      </c>
      <c r="B62" t="s">
        <v>225</v>
      </c>
      <c r="C62" t="s">
        <v>27</v>
      </c>
      <c r="D62" t="s">
        <v>14</v>
      </c>
      <c r="E62" s="1">
        <v>41968</v>
      </c>
      <c r="F62">
        <v>40</v>
      </c>
      <c r="G62" s="2">
        <v>21.063510642513</v>
      </c>
      <c r="H62" s="2">
        <v>842.540425700521</v>
      </c>
      <c r="I62" t="s">
        <v>15</v>
      </c>
    </row>
    <row r="63" spans="1:9">
      <c r="A63" t="s">
        <v>226</v>
      </c>
      <c r="B63" t="s">
        <v>227</v>
      </c>
      <c r="C63" t="s">
        <v>20</v>
      </c>
      <c r="D63" t="s">
        <v>14</v>
      </c>
      <c r="E63" s="1">
        <v>40397</v>
      </c>
      <c r="F63">
        <v>35</v>
      </c>
      <c r="G63" s="2">
        <v>26.1930616475145</v>
      </c>
      <c r="H63" s="2">
        <v>916.757157663007</v>
      </c>
      <c r="I63" t="s">
        <v>22</v>
      </c>
    </row>
    <row r="64" spans="1:9">
      <c r="A64" t="s">
        <v>228</v>
      </c>
      <c r="B64" t="s">
        <v>229</v>
      </c>
      <c r="C64" t="s">
        <v>13</v>
      </c>
      <c r="D64" t="s">
        <v>14</v>
      </c>
      <c r="E64" s="1">
        <v>38068</v>
      </c>
      <c r="F64">
        <v>35.5</v>
      </c>
      <c r="G64" s="2">
        <v>26.441106244959</v>
      </c>
      <c r="H64" s="2">
        <v>938.659271696046</v>
      </c>
      <c r="I64" t="s">
        <v>22</v>
      </c>
    </row>
    <row r="65" spans="1:9">
      <c r="A65" t="s">
        <v>230</v>
      </c>
      <c r="B65" t="s">
        <v>231</v>
      </c>
      <c r="C65" t="s">
        <v>13</v>
      </c>
      <c r="D65" t="s">
        <v>51</v>
      </c>
      <c r="E65" s="1">
        <v>38211</v>
      </c>
      <c r="F65">
        <v>32</v>
      </c>
      <c r="G65" s="2">
        <v>20.8628676904625</v>
      </c>
      <c r="H65" s="2">
        <v>667.6117660948</v>
      </c>
      <c r="I65" t="s">
        <v>22</v>
      </c>
    </row>
    <row r="66" spans="1:9">
      <c r="A66" t="s">
        <v>232</v>
      </c>
      <c r="B66" t="s">
        <v>233</v>
      </c>
      <c r="C66" t="s">
        <v>20</v>
      </c>
      <c r="D66" t="s">
        <v>21</v>
      </c>
      <c r="E66" s="1">
        <v>38996</v>
      </c>
      <c r="F66">
        <v>35.5</v>
      </c>
      <c r="G66" s="2">
        <v>27.930629937317</v>
      </c>
      <c r="H66" s="2">
        <v>991.537362774752</v>
      </c>
      <c r="I66" t="s">
        <v>22</v>
      </c>
    </row>
    <row r="67" spans="1:9">
      <c r="A67" t="s">
        <v>234</v>
      </c>
      <c r="B67" t="s">
        <v>235</v>
      </c>
      <c r="C67" t="s">
        <v>20</v>
      </c>
      <c r="D67" t="s">
        <v>59</v>
      </c>
      <c r="E67" s="1">
        <v>38794</v>
      </c>
      <c r="F67">
        <v>35</v>
      </c>
      <c r="G67" s="2">
        <v>28.2341643857546</v>
      </c>
      <c r="H67" s="2">
        <v>988.195753501409</v>
      </c>
      <c r="I67" t="s">
        <v>22</v>
      </c>
    </row>
    <row r="68" spans="1:9">
      <c r="A68" t="s">
        <v>236</v>
      </c>
      <c r="B68" t="s">
        <v>237</v>
      </c>
      <c r="C68" t="s">
        <v>27</v>
      </c>
      <c r="D68" t="s">
        <v>59</v>
      </c>
      <c r="E68" s="1">
        <v>39418</v>
      </c>
      <c r="F68">
        <v>29.5</v>
      </c>
      <c r="G68" s="2">
        <v>27.2459372602021</v>
      </c>
      <c r="H68" s="2">
        <v>803.755149175961</v>
      </c>
      <c r="I68" t="s">
        <v>22</v>
      </c>
    </row>
    <row r="69" spans="1:9">
      <c r="A69" t="s">
        <v>238</v>
      </c>
      <c r="B69" t="s">
        <v>239</v>
      </c>
      <c r="C69" t="s">
        <v>13</v>
      </c>
      <c r="D69" t="s">
        <v>21</v>
      </c>
      <c r="E69" s="1">
        <v>40268</v>
      </c>
      <c r="F69">
        <v>32</v>
      </c>
      <c r="G69" s="2">
        <v>24.7808249198699</v>
      </c>
      <c r="H69" s="2">
        <v>792.986397435835</v>
      </c>
      <c r="I69" t="s">
        <v>22</v>
      </c>
    </row>
    <row r="70" spans="1:9">
      <c r="A70" t="s">
        <v>240</v>
      </c>
      <c r="B70" t="s">
        <v>241</v>
      </c>
      <c r="C70" t="s">
        <v>36</v>
      </c>
      <c r="D70" t="s">
        <v>21</v>
      </c>
      <c r="E70" s="1">
        <v>39770</v>
      </c>
      <c r="F70">
        <v>35</v>
      </c>
      <c r="G70" s="2">
        <v>20.9514694627171</v>
      </c>
      <c r="H70" s="2">
        <v>733.301431195098</v>
      </c>
      <c r="I70" t="s">
        <v>22</v>
      </c>
    </row>
    <row r="71" spans="1:9">
      <c r="A71" t="s">
        <v>242</v>
      </c>
      <c r="B71" t="s">
        <v>243</v>
      </c>
      <c r="C71" t="s">
        <v>27</v>
      </c>
      <c r="D71" t="s">
        <v>51</v>
      </c>
      <c r="E71" s="1">
        <v>37263</v>
      </c>
      <c r="F71">
        <v>40</v>
      </c>
      <c r="G71" s="2">
        <v>24.2132465350738</v>
      </c>
      <c r="H71" s="2">
        <v>968.529861402952</v>
      </c>
      <c r="I71" t="s">
        <v>15</v>
      </c>
    </row>
    <row r="72" spans="1:9">
      <c r="A72" t="s">
        <v>244</v>
      </c>
      <c r="B72" t="s">
        <v>245</v>
      </c>
      <c r="C72" t="s">
        <v>36</v>
      </c>
      <c r="D72" t="s">
        <v>51</v>
      </c>
      <c r="E72" s="1">
        <v>38990</v>
      </c>
      <c r="F72">
        <v>40</v>
      </c>
      <c r="G72" s="2">
        <v>26.6733350813367</v>
      </c>
      <c r="H72" s="2">
        <v>1066.93340325347</v>
      </c>
      <c r="I72" t="s">
        <v>15</v>
      </c>
    </row>
    <row r="73" spans="1:9">
      <c r="A73" t="s">
        <v>246</v>
      </c>
      <c r="B73" t="s">
        <v>247</v>
      </c>
      <c r="C73" t="s">
        <v>36</v>
      </c>
      <c r="D73" t="s">
        <v>51</v>
      </c>
      <c r="E73" s="1">
        <v>38288</v>
      </c>
      <c r="F73">
        <v>40</v>
      </c>
      <c r="G73" s="2">
        <v>23.270898653239</v>
      </c>
      <c r="H73" s="2">
        <v>930.835946129561</v>
      </c>
      <c r="I73" t="s">
        <v>15</v>
      </c>
    </row>
    <row r="74" spans="1:9">
      <c r="A74" t="s">
        <v>248</v>
      </c>
      <c r="B74" t="s">
        <v>249</v>
      </c>
      <c r="C74" t="s">
        <v>27</v>
      </c>
      <c r="D74" t="s">
        <v>51</v>
      </c>
      <c r="E74" s="1">
        <v>39752</v>
      </c>
      <c r="F74">
        <v>40</v>
      </c>
      <c r="G74" s="2">
        <v>29.6126531698801</v>
      </c>
      <c r="H74" s="2">
        <v>1184.5061267952</v>
      </c>
      <c r="I74" t="s">
        <v>15</v>
      </c>
    </row>
    <row r="75" spans="1:9">
      <c r="A75" t="s">
        <v>250</v>
      </c>
      <c r="B75" t="s">
        <v>251</v>
      </c>
      <c r="C75" t="s">
        <v>20</v>
      </c>
      <c r="D75" t="s">
        <v>59</v>
      </c>
      <c r="E75" s="1">
        <v>38029</v>
      </c>
      <c r="F75">
        <v>25</v>
      </c>
      <c r="G75" s="2">
        <v>27.1249727517577</v>
      </c>
      <c r="H75" s="2">
        <v>678.124318793942</v>
      </c>
      <c r="I75" t="s">
        <v>22</v>
      </c>
    </row>
    <row r="76" spans="1:9">
      <c r="A76" t="s">
        <v>252</v>
      </c>
      <c r="B76" t="s">
        <v>253</v>
      </c>
      <c r="C76" t="s">
        <v>13</v>
      </c>
      <c r="D76" t="s">
        <v>51</v>
      </c>
      <c r="E76" s="1">
        <v>38990</v>
      </c>
      <c r="F76">
        <v>40</v>
      </c>
      <c r="G76" s="2">
        <v>20.55570522982</v>
      </c>
      <c r="H76" s="2">
        <v>822.2282091928</v>
      </c>
      <c r="I76" t="s">
        <v>15</v>
      </c>
    </row>
    <row r="77" spans="1:9">
      <c r="A77" t="s">
        <v>254</v>
      </c>
      <c r="B77" t="s">
        <v>255</v>
      </c>
      <c r="C77" t="s">
        <v>27</v>
      </c>
      <c r="D77" t="s">
        <v>51</v>
      </c>
      <c r="E77" s="1">
        <v>40139</v>
      </c>
      <c r="F77">
        <v>42</v>
      </c>
      <c r="G77" s="2">
        <v>23.7429467910733</v>
      </c>
      <c r="H77" s="2">
        <v>997.20376522508</v>
      </c>
      <c r="I77" t="s">
        <v>15</v>
      </c>
    </row>
    <row r="78" spans="1:9">
      <c r="A78" t="s">
        <v>256</v>
      </c>
      <c r="B78" t="s">
        <v>257</v>
      </c>
      <c r="C78" t="s">
        <v>13</v>
      </c>
      <c r="D78" t="s">
        <v>14</v>
      </c>
      <c r="E78" s="1">
        <v>39601</v>
      </c>
      <c r="F78">
        <v>25</v>
      </c>
      <c r="G78" s="2">
        <v>20.6563505176776</v>
      </c>
      <c r="H78" s="2">
        <v>516.40876294194</v>
      </c>
      <c r="I78" t="s">
        <v>22</v>
      </c>
    </row>
    <row r="79" spans="1:9">
      <c r="A79" t="s">
        <v>258</v>
      </c>
      <c r="B79" t="s">
        <v>259</v>
      </c>
      <c r="C79" t="s">
        <v>20</v>
      </c>
      <c r="D79" t="s">
        <v>21</v>
      </c>
      <c r="E79" s="1">
        <v>40035</v>
      </c>
      <c r="F79">
        <v>40</v>
      </c>
      <c r="G79" s="2">
        <v>24.7613808611318</v>
      </c>
      <c r="H79" s="2">
        <v>990.455234445274</v>
      </c>
      <c r="I79" t="s">
        <v>15</v>
      </c>
    </row>
    <row r="80" spans="1:9">
      <c r="A80" t="s">
        <v>260</v>
      </c>
      <c r="B80" t="s">
        <v>261</v>
      </c>
      <c r="C80" t="s">
        <v>27</v>
      </c>
      <c r="D80" t="s">
        <v>59</v>
      </c>
      <c r="E80" s="1">
        <v>40296</v>
      </c>
      <c r="F80">
        <v>42</v>
      </c>
      <c r="G80" s="2">
        <v>21.2089102328483</v>
      </c>
      <c r="H80" s="2">
        <v>890.774229779629</v>
      </c>
      <c r="I80" t="s">
        <v>15</v>
      </c>
    </row>
    <row r="81" spans="1:9">
      <c r="A81" t="s">
        <v>262</v>
      </c>
      <c r="B81" t="s">
        <v>263</v>
      </c>
      <c r="C81" t="s">
        <v>27</v>
      </c>
      <c r="D81" t="s">
        <v>14</v>
      </c>
      <c r="E81" s="1">
        <v>36953</v>
      </c>
      <c r="F81">
        <v>40</v>
      </c>
      <c r="G81" s="2">
        <v>29.6869323887969</v>
      </c>
      <c r="H81" s="2">
        <v>1187.47729555188</v>
      </c>
      <c r="I81" t="s">
        <v>15</v>
      </c>
    </row>
    <row r="82" spans="1:9">
      <c r="A82" t="s">
        <v>264</v>
      </c>
      <c r="B82" t="s">
        <v>265</v>
      </c>
      <c r="C82" t="s">
        <v>36</v>
      </c>
      <c r="D82" t="s">
        <v>14</v>
      </c>
      <c r="E82" s="1">
        <v>36948</v>
      </c>
      <c r="F82">
        <v>15.5</v>
      </c>
      <c r="G82" s="2">
        <v>27.0324725336245</v>
      </c>
      <c r="H82" s="2">
        <v>419.003324271179</v>
      </c>
      <c r="I82" t="s">
        <v>22</v>
      </c>
    </row>
    <row r="83" spans="1:9">
      <c r="A83" t="s">
        <v>266</v>
      </c>
      <c r="B83" t="s">
        <v>267</v>
      </c>
      <c r="C83" t="s">
        <v>27</v>
      </c>
      <c r="D83" t="s">
        <v>21</v>
      </c>
      <c r="E83" s="1">
        <v>40537</v>
      </c>
      <c r="F83">
        <v>40</v>
      </c>
      <c r="G83" s="2">
        <v>23.8393078808562</v>
      </c>
      <c r="H83" s="2">
        <v>953.572315234248</v>
      </c>
      <c r="I83" t="s">
        <v>15</v>
      </c>
    </row>
    <row r="84" spans="1:9">
      <c r="A84" t="s">
        <v>268</v>
      </c>
      <c r="B84" t="s">
        <v>269</v>
      </c>
      <c r="C84" t="s">
        <v>27</v>
      </c>
      <c r="D84" t="s">
        <v>21</v>
      </c>
      <c r="E84" s="1">
        <v>40692</v>
      </c>
      <c r="F84">
        <v>29.5</v>
      </c>
      <c r="G84" s="2">
        <v>26.1711140052097</v>
      </c>
      <c r="H84" s="2">
        <v>772.047863153687</v>
      </c>
      <c r="I84" t="s">
        <v>22</v>
      </c>
    </row>
    <row r="85" spans="1:9">
      <c r="A85" t="s">
        <v>270</v>
      </c>
      <c r="B85" t="s">
        <v>271</v>
      </c>
      <c r="C85" t="s">
        <v>27</v>
      </c>
      <c r="D85" t="s">
        <v>21</v>
      </c>
      <c r="E85" s="1">
        <v>38211</v>
      </c>
      <c r="F85">
        <v>29.5</v>
      </c>
      <c r="G85" s="2">
        <v>24.9382581014963</v>
      </c>
      <c r="H85" s="2">
        <v>735.67861399414</v>
      </c>
      <c r="I85" t="s">
        <v>22</v>
      </c>
    </row>
    <row r="86" spans="1:9">
      <c r="A86" t="s">
        <v>272</v>
      </c>
      <c r="B86" t="s">
        <v>273</v>
      </c>
      <c r="C86" t="s">
        <v>36</v>
      </c>
      <c r="D86" t="s">
        <v>21</v>
      </c>
      <c r="E86" s="1">
        <v>39435</v>
      </c>
      <c r="F86">
        <v>40</v>
      </c>
      <c r="G86" s="2">
        <v>21.9331419032506</v>
      </c>
      <c r="H86" s="2">
        <v>877.325676130023</v>
      </c>
      <c r="I86" t="s">
        <v>15</v>
      </c>
    </row>
    <row r="87" spans="1:9">
      <c r="A87" t="s">
        <v>274</v>
      </c>
      <c r="B87" t="s">
        <v>275</v>
      </c>
      <c r="C87" t="s">
        <v>36</v>
      </c>
      <c r="D87" t="s">
        <v>14</v>
      </c>
      <c r="E87" s="1">
        <v>40417</v>
      </c>
      <c r="F87">
        <v>15.5</v>
      </c>
      <c r="G87" s="2">
        <v>22.2269085765447</v>
      </c>
      <c r="H87" s="2">
        <v>344.517082936443</v>
      </c>
      <c r="I87" t="s">
        <v>22</v>
      </c>
    </row>
    <row r="88" spans="1:9">
      <c r="A88" t="s">
        <v>276</v>
      </c>
      <c r="B88" t="s">
        <v>277</v>
      </c>
      <c r="C88" t="s">
        <v>36</v>
      </c>
      <c r="D88" t="s">
        <v>21</v>
      </c>
      <c r="E88" s="1">
        <v>38880</v>
      </c>
      <c r="F88">
        <v>40</v>
      </c>
      <c r="G88" s="2">
        <v>28.5121956001453</v>
      </c>
      <c r="H88" s="2">
        <v>1140.48782400581</v>
      </c>
      <c r="I88" t="s">
        <v>15</v>
      </c>
    </row>
    <row r="89" spans="1:9">
      <c r="A89" t="s">
        <v>278</v>
      </c>
      <c r="B89" t="s">
        <v>279</v>
      </c>
      <c r="C89" t="s">
        <v>20</v>
      </c>
      <c r="D89" t="s">
        <v>59</v>
      </c>
      <c r="E89" s="1">
        <v>38084</v>
      </c>
      <c r="F89">
        <v>38</v>
      </c>
      <c r="G89" s="2">
        <v>26.1580386214767</v>
      </c>
      <c r="H89" s="2">
        <v>994.005467616114</v>
      </c>
      <c r="I89" t="s">
        <v>22</v>
      </c>
    </row>
    <row r="90" spans="1:9">
      <c r="A90" t="s">
        <v>280</v>
      </c>
      <c r="B90" t="s">
        <v>281</v>
      </c>
      <c r="C90" t="s">
        <v>20</v>
      </c>
      <c r="D90" t="s">
        <v>14</v>
      </c>
      <c r="E90" s="1">
        <v>37112</v>
      </c>
      <c r="F90">
        <v>38</v>
      </c>
      <c r="G90" s="2">
        <v>29.9674239695174</v>
      </c>
      <c r="H90" s="2">
        <v>1138.76211084166</v>
      </c>
      <c r="I90" t="s">
        <v>22</v>
      </c>
    </row>
    <row r="91" spans="1:9">
      <c r="A91" t="s">
        <v>282</v>
      </c>
      <c r="B91" t="s">
        <v>283</v>
      </c>
      <c r="C91" t="s">
        <v>27</v>
      </c>
      <c r="D91" t="s">
        <v>51</v>
      </c>
      <c r="E91" s="1">
        <v>37948</v>
      </c>
      <c r="F91">
        <v>40</v>
      </c>
      <c r="G91" s="2">
        <v>25.3452862696831</v>
      </c>
      <c r="H91" s="2">
        <v>1013.81145078732</v>
      </c>
      <c r="I91" t="s">
        <v>15</v>
      </c>
    </row>
    <row r="92" spans="1:9">
      <c r="A92" t="s">
        <v>284</v>
      </c>
      <c r="B92" t="s">
        <v>285</v>
      </c>
      <c r="C92" t="s">
        <v>36</v>
      </c>
      <c r="D92" t="s">
        <v>14</v>
      </c>
      <c r="E92" s="1">
        <v>39059</v>
      </c>
      <c r="F92">
        <v>40</v>
      </c>
      <c r="G92" s="2">
        <v>25.6019372294119</v>
      </c>
      <c r="H92" s="2">
        <v>1024.07748917648</v>
      </c>
      <c r="I92" t="s">
        <v>15</v>
      </c>
    </row>
    <row r="93" spans="1:9">
      <c r="A93" t="s">
        <v>286</v>
      </c>
      <c r="B93" t="s">
        <v>287</v>
      </c>
      <c r="C93" t="s">
        <v>20</v>
      </c>
      <c r="D93" t="s">
        <v>14</v>
      </c>
      <c r="E93" s="1">
        <v>38533</v>
      </c>
      <c r="F93">
        <v>35.5</v>
      </c>
      <c r="G93" s="2">
        <v>23.9214244689799</v>
      </c>
      <c r="H93" s="2">
        <v>849.210568648788</v>
      </c>
      <c r="I93" t="s">
        <v>22</v>
      </c>
    </row>
    <row r="94" spans="1:9">
      <c r="A94" t="s">
        <v>288</v>
      </c>
      <c r="B94" t="s">
        <v>289</v>
      </c>
      <c r="C94" t="s">
        <v>36</v>
      </c>
      <c r="D94" t="s">
        <v>59</v>
      </c>
      <c r="E94" s="1">
        <v>38744</v>
      </c>
      <c r="F94">
        <v>35</v>
      </c>
      <c r="G94" s="2">
        <v>20.3208991153415</v>
      </c>
      <c r="H94" s="2">
        <v>711.231469036951</v>
      </c>
      <c r="I94" t="s">
        <v>22</v>
      </c>
    </row>
    <row r="95" spans="1:9">
      <c r="A95" t="s">
        <v>290</v>
      </c>
      <c r="B95" t="s">
        <v>291</v>
      </c>
      <c r="C95" t="s">
        <v>20</v>
      </c>
      <c r="D95" t="s">
        <v>59</v>
      </c>
      <c r="E95" s="1">
        <v>40119</v>
      </c>
      <c r="F95">
        <v>35</v>
      </c>
      <c r="G95" s="2">
        <v>27.5256373926534</v>
      </c>
      <c r="H95" s="2">
        <v>963.397308742868</v>
      </c>
      <c r="I9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Aki</cp:lastModifiedBy>
  <dcterms:created xsi:type="dcterms:W3CDTF">2025-10-29T16:50:00Z</dcterms:created>
  <dcterms:modified xsi:type="dcterms:W3CDTF">2025-10-30T07:29:35Z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611EA8C29A8F4701B7DBCE99938C227D_12</vt:lpwstr>
  </property>
  <property fmtid="{D5CDD505-2E9C-101B-9397-08002B2CF9AE}" pid="4" name="KSOProductBuildVer">
    <vt:lpwstr>1033-12.2.0.23149</vt:lpwstr>
  </property>
</Properties>
</file>