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anak\Desktop\AIT-2024\Labs and others\Data Analytics\Final_Exam_Assignment\"/>
    </mc:Choice>
  </mc:AlternateContent>
  <xr:revisionPtr revIDLastSave="0" documentId="13_ncr:9_{6EA57095-314F-4434-90DB-96481CB59B71}" xr6:coauthVersionLast="47" xr6:coauthVersionMax="47" xr10:uidLastSave="{00000000-0000-0000-0000-000000000000}"/>
  <bookViews>
    <workbookView xWindow="-108" yWindow="-108" windowWidth="24792" windowHeight="15576" xr2:uid="{4D012305-7D00-4A69-8AC6-356F828A0284}"/>
  </bookViews>
  <sheets>
    <sheet name="sales_data" sheetId="1" r:id="rId1"/>
  </sheets>
  <definedNames>
    <definedName name="_xlnm._FilterDatabase" localSheetId="0" hidden="1">sales_data!$A$1:$H$32</definedName>
  </definedNames>
  <calcPr calcId="0"/>
  <pivotCaches>
    <pivotCache cacheId="17" r:id="rId2"/>
  </pivotCaches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</calcChain>
</file>

<file path=xl/sharedStrings.xml><?xml version="1.0" encoding="utf-8"?>
<sst xmlns="http://schemas.openxmlformats.org/spreadsheetml/2006/main" count="148" uniqueCount="42">
  <si>
    <t>order_id</t>
  </si>
  <si>
    <t>order_date</t>
  </si>
  <si>
    <t>customer_id</t>
  </si>
  <si>
    <t>product</t>
  </si>
  <si>
    <t>category</t>
  </si>
  <si>
    <t>price</t>
  </si>
  <si>
    <t>quantity</t>
  </si>
  <si>
    <t>region</t>
  </si>
  <si>
    <t>C001</t>
  </si>
  <si>
    <t>Laptop Pro</t>
  </si>
  <si>
    <t>Electronics</t>
  </si>
  <si>
    <t>North</t>
  </si>
  <si>
    <t>C002</t>
  </si>
  <si>
    <t>Wireless Mouse</t>
  </si>
  <si>
    <t>South</t>
  </si>
  <si>
    <t>C003</t>
  </si>
  <si>
    <t>Office Chair</t>
  </si>
  <si>
    <t>Furniture</t>
  </si>
  <si>
    <t>East</t>
  </si>
  <si>
    <t>USB-C Hub</t>
  </si>
  <si>
    <t>C004</t>
  </si>
  <si>
    <t>Standing Desk</t>
  </si>
  <si>
    <t>West</t>
  </si>
  <si>
    <t>C005</t>
  </si>
  <si>
    <t>Notebook</t>
  </si>
  <si>
    <t>Stationery</t>
  </si>
  <si>
    <t>C006</t>
  </si>
  <si>
    <t>Pen Set</t>
  </si>
  <si>
    <t>Keyboard</t>
  </si>
  <si>
    <t>C007</t>
  </si>
  <si>
    <t>Monitor 27"</t>
  </si>
  <si>
    <t>C008</t>
  </si>
  <si>
    <t>Desk Lamp</t>
  </si>
  <si>
    <t>C009</t>
  </si>
  <si>
    <t>C010</t>
  </si>
  <si>
    <t>Row Labels</t>
  </si>
  <si>
    <t>Grand Total</t>
  </si>
  <si>
    <t>revenue</t>
  </si>
  <si>
    <t>Sum of revenue</t>
  </si>
  <si>
    <t>янв</t>
  </si>
  <si>
    <t>фев</t>
  </si>
  <si>
    <t>мар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</si>
</sst>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[sales_analysis.xlsx]sales_data!PivotTable3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sales_data!$L$2:$L$5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sales_data!$M$2:$M$5</c:f>
              <c:numCache>
                <c:formatCode>General</c:formatCode>
                <c:ptCount val="3"/>
                <c:pt idx="0">
                  <c:v>6610</c:v>
                </c:pt>
                <c:pt idx="1">
                  <c:v>1970</c:v>
                </c:pt>
                <c:pt idx="2">
                  <c:v>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7-4EDC-A8BA-BC2A77965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2595727"/>
        <c:axId val="352604847"/>
      </c:barChart>
      <c:catAx>
        <c:axId val="35259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2604847"/>
        <c:crosses val="autoZero"/>
        <c:auto val="1"/>
        <c:lblAlgn val="ctr"/>
        <c:lblOffset val="100"/>
        <c:noMultiLvlLbl val="0"/>
      </c:catAx>
      <c:valAx>
        <c:axId val="35260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259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[sales_analysis.xlsx]sales_data!PivotTable5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sales_data!$U$1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sales_data!$T$2:$T$5</c:f>
              <c:strCache>
                <c:ptCount val="3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</c:strCache>
            </c:strRef>
          </c:cat>
          <c:val>
            <c:numRef>
              <c:f>sales_data!$U$2:$U$5</c:f>
              <c:numCache>
                <c:formatCode>General</c:formatCode>
                <c:ptCount val="3"/>
                <c:pt idx="0">
                  <c:v>2666</c:v>
                </c:pt>
                <c:pt idx="1">
                  <c:v>3760</c:v>
                </c:pt>
                <c:pt idx="2">
                  <c:v>2523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99-4C48-80B2-E51A38B06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618191"/>
        <c:axId val="486621071"/>
      </c:lineChart>
      <c:catAx>
        <c:axId val="48661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621071"/>
        <c:crosses val="autoZero"/>
        <c:auto val="1"/>
        <c:lblAlgn val="ctr"/>
        <c:lblOffset val="100"/>
        <c:noMultiLvlLbl val="0"/>
      </c:catAx>
      <c:valAx>
        <c:axId val="48662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661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563880</xdr:colOff>
      <xdr:row>8</xdr:row>
      <xdr:rowOff>76200</xdr:rowOff>
    </xdr:from>
    <xdr:to>
      <xdr:col>15</xdr:col>
      <xdr:colOff>449580</xdr:colOff>
      <xdr:row>22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CB15BF-9973-11F2-CC81-D35DFA1CD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739140</xdr:colOff>
      <xdr:row>8</xdr:row>
      <xdr:rowOff>30480</xdr:rowOff>
    </xdr:from>
    <xdr:to>
      <xdr:col>23</xdr:col>
      <xdr:colOff>60960</xdr:colOff>
      <xdr:row>22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4511EA-A9EE-6356-DD3C-487F67F7E4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i Tanaka" refreshedDate="46040.679474537035" createdVersion="8" refreshedVersion="8" minRefreshableVersion="3" recordCount="30" xr:uid="{F424B88F-2EBE-4B43-97B3-B1269A682032}">
  <cacheSource type="worksheet">
    <worksheetSource ref="A1:I31" sheet="sales_data"/>
  </cacheSource>
  <cacheFields count="10">
    <cacheField name="order_id" numFmtId="0">
      <sharedItems containsSemiMixedTypes="0" containsString="0" containsNumber="1" containsInteger="1" minValue="1001" maxValue="1030"/>
    </cacheField>
    <cacheField name="order_date" numFmtId="14">
      <sharedItems containsSemiMixedTypes="0" containsNonDate="0" containsDate="1" containsString="0" minDate="2024-01-05T00:00:00" maxDate="2024-03-23T00:00:00" count="30">
        <d v="2024-01-05T00:00:00"/>
        <d v="2024-01-06T00:00:00"/>
        <d v="2024-01-07T00:00:00"/>
        <d v="2024-01-08T00:00:00"/>
        <d v="2024-01-10T00:00:00"/>
        <d v="2024-01-11T00:00:00"/>
        <d v="2024-01-12T00:00:00"/>
        <d v="2024-01-14T00:00:00"/>
        <d v="2024-01-15T00:00:00"/>
        <d v="2024-01-17T00:00:00"/>
        <d v="2024-02-01T00:00:00"/>
        <d v="2024-02-03T00:00:00"/>
        <d v="2024-02-05T00:00:00"/>
        <d v="2024-02-06T00:00:00"/>
        <d v="2024-02-08T00:00:00"/>
        <d v="2024-02-10T00:00:00"/>
        <d v="2024-02-12T00:00:00"/>
        <d v="2024-02-15T00:00:00"/>
        <d v="2024-02-18T00:00:00"/>
        <d v="2024-02-20T00:00:00"/>
        <d v="2024-03-01T00:00:00"/>
        <d v="2024-03-03T00:00:00"/>
        <d v="2024-03-05T00:00:00"/>
        <d v="2024-03-07T00:00:00"/>
        <d v="2024-03-09T00:00:00"/>
        <d v="2024-03-12T00:00:00"/>
        <d v="2024-03-14T00:00:00"/>
        <d v="2024-03-18T00:00:00"/>
        <d v="2024-03-20T00:00:00"/>
        <d v="2024-03-22T00:00:00"/>
      </sharedItems>
      <fieldGroup par="9"/>
    </cacheField>
    <cacheField name="customer_id" numFmtId="0">
      <sharedItems/>
    </cacheField>
    <cacheField name="product" numFmtId="0">
      <sharedItems/>
    </cacheField>
    <cacheField name="category" numFmtId="0">
      <sharedItems count="3">
        <s v="Electronics"/>
        <s v="Furniture"/>
        <s v="Stationery"/>
      </sharedItems>
    </cacheField>
    <cacheField name="price" numFmtId="0">
      <sharedItems containsSemiMixedTypes="0" containsString="0" containsNumber="1" containsInteger="1" minValue="5" maxValue="1200"/>
    </cacheField>
    <cacheField name="quantity" numFmtId="0">
      <sharedItems containsSemiMixedTypes="0" containsString="0" containsNumber="1" containsInteger="1" minValue="1" maxValue="20" count="8">
        <n v="1"/>
        <n v="2"/>
        <n v="10"/>
        <n v="3"/>
        <n v="20"/>
        <n v="5"/>
        <n v="15"/>
        <n v="4"/>
      </sharedItems>
    </cacheField>
    <cacheField name="region" numFmtId="0">
      <sharedItems count="4">
        <s v="North"/>
        <s v="South"/>
        <s v="East"/>
        <s v="West"/>
      </sharedItems>
    </cacheField>
    <cacheField name="revenue" numFmtId="0">
      <sharedItems containsSemiMixedTypes="0" containsString="0" containsNumber="1" containsInteger="1" minValue="36" maxValue="1200"/>
    </cacheField>
    <cacheField name="Months (order_date)" numFmtId="0" databaseField="0">
      <fieldGroup base="1">
        <rangePr groupBy="months" startDate="2024-01-05T00:00:00" endDate="2024-03-23T00:00:00"/>
        <groupItems count="14">
          <s v="&lt;05.01.2024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23.03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x v="0"/>
    <s v="C001"/>
    <s v="Laptop Pro"/>
    <x v="0"/>
    <n v="1200"/>
    <x v="0"/>
    <x v="0"/>
    <n v="1200"/>
  </r>
  <r>
    <n v="1002"/>
    <x v="1"/>
    <s v="C002"/>
    <s v="Wireless Mouse"/>
    <x v="0"/>
    <n v="25"/>
    <x v="1"/>
    <x v="1"/>
    <n v="50"/>
  </r>
  <r>
    <n v="1003"/>
    <x v="2"/>
    <s v="C003"/>
    <s v="Office Chair"/>
    <x v="1"/>
    <n v="180"/>
    <x v="0"/>
    <x v="2"/>
    <n v="180"/>
  </r>
  <r>
    <n v="1004"/>
    <x v="3"/>
    <s v="C001"/>
    <s v="USB-C Hub"/>
    <x v="0"/>
    <n v="45"/>
    <x v="0"/>
    <x v="0"/>
    <n v="45"/>
  </r>
  <r>
    <n v="1005"/>
    <x v="4"/>
    <s v="C004"/>
    <s v="Standing Desk"/>
    <x v="1"/>
    <n v="350"/>
    <x v="0"/>
    <x v="3"/>
    <n v="350"/>
  </r>
  <r>
    <n v="1006"/>
    <x v="5"/>
    <s v="C005"/>
    <s v="Notebook"/>
    <x v="2"/>
    <n v="5"/>
    <x v="2"/>
    <x v="1"/>
    <n v="50"/>
  </r>
  <r>
    <n v="1007"/>
    <x v="6"/>
    <s v="C006"/>
    <s v="Pen Set"/>
    <x v="2"/>
    <n v="12"/>
    <x v="3"/>
    <x v="2"/>
    <n v="36"/>
  </r>
  <r>
    <n v="1008"/>
    <x v="7"/>
    <s v="C002"/>
    <s v="Keyboard"/>
    <x v="0"/>
    <n v="75"/>
    <x v="0"/>
    <x v="1"/>
    <n v="75"/>
  </r>
  <r>
    <n v="1009"/>
    <x v="8"/>
    <s v="C007"/>
    <s v="Monitor 27&quot;"/>
    <x v="0"/>
    <n v="300"/>
    <x v="1"/>
    <x v="0"/>
    <n v="600"/>
  </r>
  <r>
    <n v="1010"/>
    <x v="9"/>
    <s v="C008"/>
    <s v="Desk Lamp"/>
    <x v="1"/>
    <n v="40"/>
    <x v="1"/>
    <x v="3"/>
    <n v="80"/>
  </r>
  <r>
    <n v="1011"/>
    <x v="10"/>
    <s v="C001"/>
    <s v="Laptop Pro"/>
    <x v="0"/>
    <n v="1200"/>
    <x v="0"/>
    <x v="0"/>
    <n v="1200"/>
  </r>
  <r>
    <n v="1012"/>
    <x v="11"/>
    <s v="C009"/>
    <s v="Office Chair"/>
    <x v="1"/>
    <n v="180"/>
    <x v="1"/>
    <x v="1"/>
    <n v="360"/>
  </r>
  <r>
    <n v="1013"/>
    <x v="12"/>
    <s v="C010"/>
    <s v="Notebook"/>
    <x v="2"/>
    <n v="5"/>
    <x v="4"/>
    <x v="2"/>
    <n v="100"/>
  </r>
  <r>
    <n v="1014"/>
    <x v="13"/>
    <s v="C003"/>
    <s v="Keyboard"/>
    <x v="0"/>
    <n v="75"/>
    <x v="0"/>
    <x v="2"/>
    <n v="75"/>
  </r>
  <r>
    <n v="1015"/>
    <x v="14"/>
    <s v="C004"/>
    <s v="Monitor 27&quot;"/>
    <x v="0"/>
    <n v="300"/>
    <x v="0"/>
    <x v="3"/>
    <n v="300"/>
  </r>
  <r>
    <n v="1016"/>
    <x v="15"/>
    <s v="C005"/>
    <s v="Desk Lamp"/>
    <x v="1"/>
    <n v="40"/>
    <x v="0"/>
    <x v="1"/>
    <n v="40"/>
  </r>
  <r>
    <n v="1017"/>
    <x v="16"/>
    <s v="C006"/>
    <s v="Wireless Mouse"/>
    <x v="0"/>
    <n v="25"/>
    <x v="3"/>
    <x v="2"/>
    <n v="75"/>
  </r>
  <r>
    <n v="1018"/>
    <x v="17"/>
    <s v="C007"/>
    <s v="Standing Desk"/>
    <x v="1"/>
    <n v="350"/>
    <x v="0"/>
    <x v="0"/>
    <n v="350"/>
  </r>
  <r>
    <n v="1019"/>
    <x v="18"/>
    <s v="C008"/>
    <s v="Pen Set"/>
    <x v="2"/>
    <n v="12"/>
    <x v="5"/>
    <x v="3"/>
    <n v="60"/>
  </r>
  <r>
    <n v="1020"/>
    <x v="19"/>
    <s v="C002"/>
    <s v="Laptop Pro"/>
    <x v="0"/>
    <n v="1200"/>
    <x v="0"/>
    <x v="1"/>
    <n v="1200"/>
  </r>
  <r>
    <n v="1021"/>
    <x v="20"/>
    <s v="C009"/>
    <s v="USB-C Hub"/>
    <x v="0"/>
    <n v="45"/>
    <x v="1"/>
    <x v="1"/>
    <n v="90"/>
  </r>
  <r>
    <n v="1022"/>
    <x v="21"/>
    <s v="C010"/>
    <s v="Office Chair"/>
    <x v="1"/>
    <n v="180"/>
    <x v="0"/>
    <x v="2"/>
    <n v="180"/>
  </r>
  <r>
    <n v="1023"/>
    <x v="22"/>
    <s v="C001"/>
    <s v="Monitor 27&quot;"/>
    <x v="0"/>
    <n v="300"/>
    <x v="0"/>
    <x v="0"/>
    <n v="300"/>
  </r>
  <r>
    <n v="1024"/>
    <x v="23"/>
    <s v="C003"/>
    <s v="Notebook"/>
    <x v="2"/>
    <n v="5"/>
    <x v="6"/>
    <x v="2"/>
    <n v="75"/>
  </r>
  <r>
    <n v="1025"/>
    <x v="24"/>
    <s v="C004"/>
    <s v="Keyboard"/>
    <x v="0"/>
    <n v="75"/>
    <x v="1"/>
    <x v="3"/>
    <n v="150"/>
  </r>
  <r>
    <n v="1026"/>
    <x v="25"/>
    <s v="C005"/>
    <s v="Standing Desk"/>
    <x v="1"/>
    <n v="350"/>
    <x v="0"/>
    <x v="1"/>
    <n v="350"/>
  </r>
  <r>
    <n v="1027"/>
    <x v="26"/>
    <s v="C006"/>
    <s v="Laptop Pro"/>
    <x v="0"/>
    <n v="1200"/>
    <x v="0"/>
    <x v="2"/>
    <n v="1200"/>
  </r>
  <r>
    <n v="1028"/>
    <x v="27"/>
    <s v="C007"/>
    <s v="Desk Lamp"/>
    <x v="1"/>
    <n v="40"/>
    <x v="1"/>
    <x v="0"/>
    <n v="80"/>
  </r>
  <r>
    <n v="1029"/>
    <x v="28"/>
    <s v="C008"/>
    <s v="Wireless Mouse"/>
    <x v="0"/>
    <n v="25"/>
    <x v="1"/>
    <x v="3"/>
    <n v="50"/>
  </r>
  <r>
    <n v="1030"/>
    <x v="29"/>
    <s v="C009"/>
    <s v="Pen Set"/>
    <x v="2"/>
    <n v="12"/>
    <x v="7"/>
    <x v="1"/>
    <n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CCD33-7DB7-4302-8CAD-791461CD7F98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T1:U5" firstHeaderRow="1" firstDataRow="1" firstDataCol="1"/>
  <pivotFields count="10"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revenue" fld="8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C0465-4C02-425D-A42B-D9E4BBBF000A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6" firstHeaderRow="1" firstDataRow="1" firstDataCol="1"/>
  <pivotFields count="10"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DAFC4-62A8-4AA3-B437-D88D8FAC6D9B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L1:M5" firstHeaderRow="1" firstDataRow="1" firstDataCol="1"/>
  <pivotFields count="10">
    <pivotField showAll="0"/>
    <pivotField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9">
        <item x="0"/>
        <item x="1"/>
        <item x="3"/>
        <item x="7"/>
        <item x="5"/>
        <item x="2"/>
        <item x="6"/>
        <item x="4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8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2964-2B5E-4F45-8AFA-24C892D61C3D}">
  <dimension ref="A1:U31"/>
  <sheetViews>
    <sheetView tabSelected="1" topLeftCell="G1" workbookViewId="0">
      <selection activeCell="Q22" sqref="Q22"/>
    </sheetView>
  </sheetViews>
  <sheetFormatPr defaultRowHeight="14.4" x14ac:dyDescent="0.3"/>
  <cols>
    <col min="1" max="1" width="10.33203125" customWidth="1"/>
    <col min="2" max="2" width="23.6640625" style="1" customWidth="1"/>
    <col min="3" max="3" width="23" customWidth="1"/>
    <col min="4" max="4" width="16.88671875" customWidth="1"/>
    <col min="5" max="5" width="13.33203125" customWidth="1"/>
    <col min="9" max="9" width="12.44140625" bestFit="1" customWidth="1"/>
    <col min="11" max="12" width="12.44140625" bestFit="1" customWidth="1"/>
    <col min="13" max="13" width="13.6640625" bestFit="1" customWidth="1"/>
    <col min="16" max="16" width="12.44140625" bestFit="1" customWidth="1"/>
    <col min="17" max="17" width="13.6640625" bestFit="1" customWidth="1"/>
    <col min="20" max="20" width="12.44140625" bestFit="1" customWidth="1"/>
    <col min="21" max="21" width="13.6640625" bestFit="1" customWidth="1"/>
  </cols>
  <sheetData>
    <row r="1" spans="1:21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37</v>
      </c>
      <c r="J1" s="4"/>
      <c r="L1" s="2" t="s">
        <v>35</v>
      </c>
      <c r="M1" t="s">
        <v>38</v>
      </c>
      <c r="P1" s="2" t="s">
        <v>35</v>
      </c>
      <c r="Q1" t="s">
        <v>38</v>
      </c>
      <c r="T1" s="2" t="s">
        <v>35</v>
      </c>
      <c r="U1" t="s">
        <v>38</v>
      </c>
    </row>
    <row r="2" spans="1:21" x14ac:dyDescent="0.3">
      <c r="A2">
        <v>1001</v>
      </c>
      <c r="B2" s="1">
        <v>45296</v>
      </c>
      <c r="C2" t="s">
        <v>8</v>
      </c>
      <c r="D2" t="s">
        <v>9</v>
      </c>
      <c r="E2" t="s">
        <v>10</v>
      </c>
      <c r="F2">
        <v>1200</v>
      </c>
      <c r="G2">
        <v>1</v>
      </c>
      <c r="H2" t="s">
        <v>11</v>
      </c>
      <c r="I2">
        <f>F2*G2</f>
        <v>1200</v>
      </c>
      <c r="L2" s="3" t="s">
        <v>10</v>
      </c>
      <c r="M2" s="5">
        <v>6610</v>
      </c>
      <c r="P2" s="3" t="s">
        <v>18</v>
      </c>
      <c r="Q2" s="5">
        <v>1921</v>
      </c>
      <c r="T2" s="3" t="s">
        <v>39</v>
      </c>
      <c r="U2" s="5">
        <v>2666</v>
      </c>
    </row>
    <row r="3" spans="1:21" x14ac:dyDescent="0.3">
      <c r="A3">
        <v>1002</v>
      </c>
      <c r="B3" s="1">
        <v>45297</v>
      </c>
      <c r="C3" t="s">
        <v>12</v>
      </c>
      <c r="D3" t="s">
        <v>13</v>
      </c>
      <c r="E3" t="s">
        <v>10</v>
      </c>
      <c r="F3">
        <v>25</v>
      </c>
      <c r="G3">
        <v>2</v>
      </c>
      <c r="H3" t="s">
        <v>14</v>
      </c>
      <c r="I3">
        <f t="shared" ref="I3:I31" si="0">F3*G3</f>
        <v>50</v>
      </c>
      <c r="L3" s="3" t="s">
        <v>17</v>
      </c>
      <c r="M3" s="5">
        <v>1970</v>
      </c>
      <c r="P3" s="3" t="s">
        <v>11</v>
      </c>
      <c r="Q3" s="5">
        <v>3775</v>
      </c>
      <c r="T3" s="3" t="s">
        <v>40</v>
      </c>
      <c r="U3" s="5">
        <v>3760</v>
      </c>
    </row>
    <row r="4" spans="1:21" x14ac:dyDescent="0.3">
      <c r="A4">
        <v>1003</v>
      </c>
      <c r="B4" s="1">
        <v>45298</v>
      </c>
      <c r="C4" t="s">
        <v>15</v>
      </c>
      <c r="D4" t="s">
        <v>16</v>
      </c>
      <c r="E4" t="s">
        <v>17</v>
      </c>
      <c r="F4">
        <v>180</v>
      </c>
      <c r="G4">
        <v>1</v>
      </c>
      <c r="H4" t="s">
        <v>18</v>
      </c>
      <c r="I4">
        <f t="shared" si="0"/>
        <v>180</v>
      </c>
      <c r="L4" s="3" t="s">
        <v>25</v>
      </c>
      <c r="M4" s="5">
        <v>369</v>
      </c>
      <c r="P4" s="3" t="s">
        <v>14</v>
      </c>
      <c r="Q4" s="5">
        <v>2263</v>
      </c>
      <c r="T4" s="3" t="s">
        <v>41</v>
      </c>
      <c r="U4" s="5">
        <v>2523</v>
      </c>
    </row>
    <row r="5" spans="1:21" x14ac:dyDescent="0.3">
      <c r="A5">
        <v>1004</v>
      </c>
      <c r="B5" s="1">
        <v>45299</v>
      </c>
      <c r="C5" t="s">
        <v>8</v>
      </c>
      <c r="D5" t="s">
        <v>19</v>
      </c>
      <c r="E5" t="s">
        <v>10</v>
      </c>
      <c r="F5">
        <v>45</v>
      </c>
      <c r="G5">
        <v>1</v>
      </c>
      <c r="H5" t="s">
        <v>11</v>
      </c>
      <c r="I5">
        <f t="shared" si="0"/>
        <v>45</v>
      </c>
      <c r="L5" s="3" t="s">
        <v>36</v>
      </c>
      <c r="M5" s="5">
        <v>8949</v>
      </c>
      <c r="P5" s="3" t="s">
        <v>22</v>
      </c>
      <c r="Q5" s="5">
        <v>990</v>
      </c>
      <c r="T5" s="3" t="s">
        <v>36</v>
      </c>
      <c r="U5" s="5">
        <v>8949</v>
      </c>
    </row>
    <row r="6" spans="1:21" x14ac:dyDescent="0.3">
      <c r="A6">
        <v>1005</v>
      </c>
      <c r="B6" s="1">
        <v>45301</v>
      </c>
      <c r="C6" t="s">
        <v>20</v>
      </c>
      <c r="D6" t="s">
        <v>21</v>
      </c>
      <c r="E6" t="s">
        <v>17</v>
      </c>
      <c r="F6">
        <v>350</v>
      </c>
      <c r="G6">
        <v>1</v>
      </c>
      <c r="H6" t="s">
        <v>22</v>
      </c>
      <c r="I6">
        <f t="shared" si="0"/>
        <v>350</v>
      </c>
      <c r="P6" s="3" t="s">
        <v>36</v>
      </c>
      <c r="Q6" s="5">
        <v>8949</v>
      </c>
    </row>
    <row r="7" spans="1:21" x14ac:dyDescent="0.3">
      <c r="A7">
        <v>1006</v>
      </c>
      <c r="B7" s="1">
        <v>45302</v>
      </c>
      <c r="C7" t="s">
        <v>23</v>
      </c>
      <c r="D7" t="s">
        <v>24</v>
      </c>
      <c r="E7" t="s">
        <v>25</v>
      </c>
      <c r="F7">
        <v>5</v>
      </c>
      <c r="G7">
        <v>10</v>
      </c>
      <c r="H7" t="s">
        <v>14</v>
      </c>
      <c r="I7">
        <f t="shared" si="0"/>
        <v>50</v>
      </c>
    </row>
    <row r="8" spans="1:21" x14ac:dyDescent="0.3">
      <c r="A8">
        <v>1007</v>
      </c>
      <c r="B8" s="1">
        <v>45303</v>
      </c>
      <c r="C8" t="s">
        <v>26</v>
      </c>
      <c r="D8" t="s">
        <v>27</v>
      </c>
      <c r="E8" t="s">
        <v>25</v>
      </c>
      <c r="F8">
        <v>12</v>
      </c>
      <c r="G8">
        <v>3</v>
      </c>
      <c r="H8" t="s">
        <v>18</v>
      </c>
      <c r="I8">
        <f t="shared" si="0"/>
        <v>36</v>
      </c>
    </row>
    <row r="9" spans="1:21" x14ac:dyDescent="0.3">
      <c r="A9">
        <v>1008</v>
      </c>
      <c r="B9" s="1">
        <v>45305</v>
      </c>
      <c r="C9" t="s">
        <v>12</v>
      </c>
      <c r="D9" t="s">
        <v>28</v>
      </c>
      <c r="E9" t="s">
        <v>10</v>
      </c>
      <c r="F9">
        <v>75</v>
      </c>
      <c r="G9">
        <v>1</v>
      </c>
      <c r="H9" t="s">
        <v>14</v>
      </c>
      <c r="I9">
        <f t="shared" si="0"/>
        <v>75</v>
      </c>
    </row>
    <row r="10" spans="1:21" x14ac:dyDescent="0.3">
      <c r="A10">
        <v>1009</v>
      </c>
      <c r="B10" s="1">
        <v>45306</v>
      </c>
      <c r="C10" t="s">
        <v>29</v>
      </c>
      <c r="D10" t="s">
        <v>30</v>
      </c>
      <c r="E10" t="s">
        <v>10</v>
      </c>
      <c r="F10">
        <v>300</v>
      </c>
      <c r="G10">
        <v>2</v>
      </c>
      <c r="H10" t="s">
        <v>11</v>
      </c>
      <c r="I10">
        <f t="shared" si="0"/>
        <v>600</v>
      </c>
    </row>
    <row r="11" spans="1:21" x14ac:dyDescent="0.3">
      <c r="A11">
        <v>1010</v>
      </c>
      <c r="B11" s="1">
        <v>45308</v>
      </c>
      <c r="C11" t="s">
        <v>31</v>
      </c>
      <c r="D11" t="s">
        <v>32</v>
      </c>
      <c r="E11" t="s">
        <v>17</v>
      </c>
      <c r="F11">
        <v>40</v>
      </c>
      <c r="G11">
        <v>2</v>
      </c>
      <c r="H11" t="s">
        <v>22</v>
      </c>
      <c r="I11">
        <f t="shared" si="0"/>
        <v>80</v>
      </c>
    </row>
    <row r="12" spans="1:21" x14ac:dyDescent="0.3">
      <c r="A12">
        <v>1011</v>
      </c>
      <c r="B12" s="1">
        <v>45323</v>
      </c>
      <c r="C12" t="s">
        <v>8</v>
      </c>
      <c r="D12" t="s">
        <v>9</v>
      </c>
      <c r="E12" t="s">
        <v>10</v>
      </c>
      <c r="F12">
        <v>1200</v>
      </c>
      <c r="G12">
        <v>1</v>
      </c>
      <c r="H12" t="s">
        <v>11</v>
      </c>
      <c r="I12">
        <f t="shared" si="0"/>
        <v>1200</v>
      </c>
    </row>
    <row r="13" spans="1:21" x14ac:dyDescent="0.3">
      <c r="A13">
        <v>1012</v>
      </c>
      <c r="B13" s="1">
        <v>45325</v>
      </c>
      <c r="C13" t="s">
        <v>33</v>
      </c>
      <c r="D13" t="s">
        <v>16</v>
      </c>
      <c r="E13" t="s">
        <v>17</v>
      </c>
      <c r="F13">
        <v>180</v>
      </c>
      <c r="G13">
        <v>2</v>
      </c>
      <c r="H13" t="s">
        <v>14</v>
      </c>
      <c r="I13">
        <f t="shared" si="0"/>
        <v>360</v>
      </c>
    </row>
    <row r="14" spans="1:21" x14ac:dyDescent="0.3">
      <c r="A14">
        <v>1013</v>
      </c>
      <c r="B14" s="1">
        <v>45327</v>
      </c>
      <c r="C14" t="s">
        <v>34</v>
      </c>
      <c r="D14" t="s">
        <v>24</v>
      </c>
      <c r="E14" t="s">
        <v>25</v>
      </c>
      <c r="F14">
        <v>5</v>
      </c>
      <c r="G14">
        <v>20</v>
      </c>
      <c r="H14" t="s">
        <v>18</v>
      </c>
      <c r="I14">
        <f t="shared" si="0"/>
        <v>100</v>
      </c>
    </row>
    <row r="15" spans="1:21" x14ac:dyDescent="0.3">
      <c r="A15">
        <v>1014</v>
      </c>
      <c r="B15" s="1">
        <v>45328</v>
      </c>
      <c r="C15" t="s">
        <v>15</v>
      </c>
      <c r="D15" t="s">
        <v>28</v>
      </c>
      <c r="E15" t="s">
        <v>10</v>
      </c>
      <c r="F15">
        <v>75</v>
      </c>
      <c r="G15">
        <v>1</v>
      </c>
      <c r="H15" t="s">
        <v>18</v>
      </c>
      <c r="I15">
        <f t="shared" si="0"/>
        <v>75</v>
      </c>
    </row>
    <row r="16" spans="1:21" x14ac:dyDescent="0.3">
      <c r="A16">
        <v>1015</v>
      </c>
      <c r="B16" s="1">
        <v>45330</v>
      </c>
      <c r="C16" t="s">
        <v>20</v>
      </c>
      <c r="D16" t="s">
        <v>30</v>
      </c>
      <c r="E16" t="s">
        <v>10</v>
      </c>
      <c r="F16">
        <v>300</v>
      </c>
      <c r="G16">
        <v>1</v>
      </c>
      <c r="H16" t="s">
        <v>22</v>
      </c>
      <c r="I16">
        <f t="shared" si="0"/>
        <v>300</v>
      </c>
    </row>
    <row r="17" spans="1:9" x14ac:dyDescent="0.3">
      <c r="A17">
        <v>1016</v>
      </c>
      <c r="B17" s="1">
        <v>45332</v>
      </c>
      <c r="C17" t="s">
        <v>23</v>
      </c>
      <c r="D17" t="s">
        <v>32</v>
      </c>
      <c r="E17" t="s">
        <v>17</v>
      </c>
      <c r="F17">
        <v>40</v>
      </c>
      <c r="G17">
        <v>1</v>
      </c>
      <c r="H17" t="s">
        <v>14</v>
      </c>
      <c r="I17">
        <f t="shared" si="0"/>
        <v>40</v>
      </c>
    </row>
    <row r="18" spans="1:9" x14ac:dyDescent="0.3">
      <c r="A18">
        <v>1017</v>
      </c>
      <c r="B18" s="1">
        <v>45334</v>
      </c>
      <c r="C18" t="s">
        <v>26</v>
      </c>
      <c r="D18" t="s">
        <v>13</v>
      </c>
      <c r="E18" t="s">
        <v>10</v>
      </c>
      <c r="F18">
        <v>25</v>
      </c>
      <c r="G18">
        <v>3</v>
      </c>
      <c r="H18" t="s">
        <v>18</v>
      </c>
      <c r="I18">
        <f t="shared" si="0"/>
        <v>75</v>
      </c>
    </row>
    <row r="19" spans="1:9" x14ac:dyDescent="0.3">
      <c r="A19">
        <v>1018</v>
      </c>
      <c r="B19" s="1">
        <v>45337</v>
      </c>
      <c r="C19" t="s">
        <v>29</v>
      </c>
      <c r="D19" t="s">
        <v>21</v>
      </c>
      <c r="E19" t="s">
        <v>17</v>
      </c>
      <c r="F19">
        <v>350</v>
      </c>
      <c r="G19">
        <v>1</v>
      </c>
      <c r="H19" t="s">
        <v>11</v>
      </c>
      <c r="I19">
        <f t="shared" si="0"/>
        <v>350</v>
      </c>
    </row>
    <row r="20" spans="1:9" x14ac:dyDescent="0.3">
      <c r="A20">
        <v>1019</v>
      </c>
      <c r="B20" s="1">
        <v>45340</v>
      </c>
      <c r="C20" t="s">
        <v>31</v>
      </c>
      <c r="D20" t="s">
        <v>27</v>
      </c>
      <c r="E20" t="s">
        <v>25</v>
      </c>
      <c r="F20">
        <v>12</v>
      </c>
      <c r="G20">
        <v>5</v>
      </c>
      <c r="H20" t="s">
        <v>22</v>
      </c>
      <c r="I20">
        <f t="shared" si="0"/>
        <v>60</v>
      </c>
    </row>
    <row r="21" spans="1:9" x14ac:dyDescent="0.3">
      <c r="A21">
        <v>1020</v>
      </c>
      <c r="B21" s="1">
        <v>45342</v>
      </c>
      <c r="C21" t="s">
        <v>12</v>
      </c>
      <c r="D21" t="s">
        <v>9</v>
      </c>
      <c r="E21" t="s">
        <v>10</v>
      </c>
      <c r="F21">
        <v>1200</v>
      </c>
      <c r="G21">
        <v>1</v>
      </c>
      <c r="H21" t="s">
        <v>14</v>
      </c>
      <c r="I21">
        <f t="shared" si="0"/>
        <v>1200</v>
      </c>
    </row>
    <row r="22" spans="1:9" x14ac:dyDescent="0.3">
      <c r="A22">
        <v>1021</v>
      </c>
      <c r="B22" s="1">
        <v>45352</v>
      </c>
      <c r="C22" t="s">
        <v>33</v>
      </c>
      <c r="D22" t="s">
        <v>19</v>
      </c>
      <c r="E22" t="s">
        <v>10</v>
      </c>
      <c r="F22">
        <v>45</v>
      </c>
      <c r="G22">
        <v>2</v>
      </c>
      <c r="H22" t="s">
        <v>14</v>
      </c>
      <c r="I22">
        <f t="shared" si="0"/>
        <v>90</v>
      </c>
    </row>
    <row r="23" spans="1:9" x14ac:dyDescent="0.3">
      <c r="A23">
        <v>1022</v>
      </c>
      <c r="B23" s="1">
        <v>45354</v>
      </c>
      <c r="C23" t="s">
        <v>34</v>
      </c>
      <c r="D23" t="s">
        <v>16</v>
      </c>
      <c r="E23" t="s">
        <v>17</v>
      </c>
      <c r="F23">
        <v>180</v>
      </c>
      <c r="G23">
        <v>1</v>
      </c>
      <c r="H23" t="s">
        <v>18</v>
      </c>
      <c r="I23">
        <f t="shared" si="0"/>
        <v>180</v>
      </c>
    </row>
    <row r="24" spans="1:9" x14ac:dyDescent="0.3">
      <c r="A24">
        <v>1023</v>
      </c>
      <c r="B24" s="1">
        <v>45356</v>
      </c>
      <c r="C24" t="s">
        <v>8</v>
      </c>
      <c r="D24" t="s">
        <v>30</v>
      </c>
      <c r="E24" t="s">
        <v>10</v>
      </c>
      <c r="F24">
        <v>300</v>
      </c>
      <c r="G24">
        <v>1</v>
      </c>
      <c r="H24" t="s">
        <v>11</v>
      </c>
      <c r="I24">
        <f t="shared" si="0"/>
        <v>300</v>
      </c>
    </row>
    <row r="25" spans="1:9" x14ac:dyDescent="0.3">
      <c r="A25">
        <v>1024</v>
      </c>
      <c r="B25" s="1">
        <v>45358</v>
      </c>
      <c r="C25" t="s">
        <v>15</v>
      </c>
      <c r="D25" t="s">
        <v>24</v>
      </c>
      <c r="E25" t="s">
        <v>25</v>
      </c>
      <c r="F25">
        <v>5</v>
      </c>
      <c r="G25">
        <v>15</v>
      </c>
      <c r="H25" t="s">
        <v>18</v>
      </c>
      <c r="I25">
        <f t="shared" si="0"/>
        <v>75</v>
      </c>
    </row>
    <row r="26" spans="1:9" x14ac:dyDescent="0.3">
      <c r="A26">
        <v>1025</v>
      </c>
      <c r="B26" s="1">
        <v>45360</v>
      </c>
      <c r="C26" t="s">
        <v>20</v>
      </c>
      <c r="D26" t="s">
        <v>28</v>
      </c>
      <c r="E26" t="s">
        <v>10</v>
      </c>
      <c r="F26">
        <v>75</v>
      </c>
      <c r="G26">
        <v>2</v>
      </c>
      <c r="H26" t="s">
        <v>22</v>
      </c>
      <c r="I26">
        <f t="shared" si="0"/>
        <v>150</v>
      </c>
    </row>
    <row r="27" spans="1:9" x14ac:dyDescent="0.3">
      <c r="A27">
        <v>1026</v>
      </c>
      <c r="B27" s="1">
        <v>45363</v>
      </c>
      <c r="C27" t="s">
        <v>23</v>
      </c>
      <c r="D27" t="s">
        <v>21</v>
      </c>
      <c r="E27" t="s">
        <v>17</v>
      </c>
      <c r="F27">
        <v>350</v>
      </c>
      <c r="G27">
        <v>1</v>
      </c>
      <c r="H27" t="s">
        <v>14</v>
      </c>
      <c r="I27">
        <f t="shared" si="0"/>
        <v>350</v>
      </c>
    </row>
    <row r="28" spans="1:9" x14ac:dyDescent="0.3">
      <c r="A28">
        <v>1027</v>
      </c>
      <c r="B28" s="1">
        <v>45365</v>
      </c>
      <c r="C28" t="s">
        <v>26</v>
      </c>
      <c r="D28" t="s">
        <v>9</v>
      </c>
      <c r="E28" t="s">
        <v>10</v>
      </c>
      <c r="F28">
        <v>1200</v>
      </c>
      <c r="G28">
        <v>1</v>
      </c>
      <c r="H28" t="s">
        <v>18</v>
      </c>
      <c r="I28">
        <f t="shared" si="0"/>
        <v>1200</v>
      </c>
    </row>
    <row r="29" spans="1:9" x14ac:dyDescent="0.3">
      <c r="A29">
        <v>1028</v>
      </c>
      <c r="B29" s="1">
        <v>45369</v>
      </c>
      <c r="C29" t="s">
        <v>29</v>
      </c>
      <c r="D29" t="s">
        <v>32</v>
      </c>
      <c r="E29" t="s">
        <v>17</v>
      </c>
      <c r="F29">
        <v>40</v>
      </c>
      <c r="G29">
        <v>2</v>
      </c>
      <c r="H29" t="s">
        <v>11</v>
      </c>
      <c r="I29">
        <f t="shared" si="0"/>
        <v>80</v>
      </c>
    </row>
    <row r="30" spans="1:9" x14ac:dyDescent="0.3">
      <c r="A30">
        <v>1029</v>
      </c>
      <c r="B30" s="1">
        <v>45371</v>
      </c>
      <c r="C30" t="s">
        <v>31</v>
      </c>
      <c r="D30" t="s">
        <v>13</v>
      </c>
      <c r="E30" t="s">
        <v>10</v>
      </c>
      <c r="F30">
        <v>25</v>
      </c>
      <c r="G30">
        <v>2</v>
      </c>
      <c r="H30" t="s">
        <v>22</v>
      </c>
      <c r="I30">
        <f t="shared" si="0"/>
        <v>50</v>
      </c>
    </row>
    <row r="31" spans="1:9" x14ac:dyDescent="0.3">
      <c r="A31">
        <v>1030</v>
      </c>
      <c r="B31" s="1">
        <v>45373</v>
      </c>
      <c r="C31" t="s">
        <v>33</v>
      </c>
      <c r="D31" t="s">
        <v>27</v>
      </c>
      <c r="E31" t="s">
        <v>25</v>
      </c>
      <c r="F31">
        <v>12</v>
      </c>
      <c r="G31">
        <v>4</v>
      </c>
      <c r="H31" t="s">
        <v>14</v>
      </c>
      <c r="I31">
        <f t="shared" si="0"/>
        <v>48</v>
      </c>
    </row>
  </sheetData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 Tanaka</dc:creator>
  <cp:lastModifiedBy>Aki Tanaka</cp:lastModifiedBy>
  <dcterms:created xsi:type="dcterms:W3CDTF">2026-01-18T10:47:22Z</dcterms:created>
  <dcterms:modified xsi:type="dcterms:W3CDTF">2026-01-18T10:48:21Z</dcterms:modified>
</cp:coreProperties>
</file>